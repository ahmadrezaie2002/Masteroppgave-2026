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amboll-my.sharepoint.com/personal/ahmad_rezaie_ramboll_no/Documents/"/>
    </mc:Choice>
  </mc:AlternateContent>
  <xr:revisionPtr revIDLastSave="205" documentId="8_{5574D2A3-26E4-450D-AE32-059718F8BD1E}" xr6:coauthVersionLast="47" xr6:coauthVersionMax="47" xr10:uidLastSave="{242CDEC1-64BF-4137-B2E6-E9C8B4478DE3}"/>
  <bookViews>
    <workbookView xWindow="-120" yWindow="-120" windowWidth="29040" windowHeight="15720" tabRatio="500" activeTab="3" xr2:uid="{00000000-000D-0000-FFFF-FFFF00000000}"/>
  </bookViews>
  <sheets>
    <sheet name="Case 1" sheetId="1" r:id="rId1"/>
    <sheet name="Case 2" sheetId="2" r:id="rId2"/>
    <sheet name="Case 3" sheetId="3" r:id="rId3"/>
    <sheet name="Sammenstill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3" l="1"/>
  <c r="E24" i="3" s="1"/>
  <c r="C5" i="4" s="1"/>
  <c r="D22" i="3"/>
  <c r="D24" i="3" s="1"/>
  <c r="B5" i="4" s="1"/>
  <c r="E22" i="2"/>
  <c r="E24" i="2" s="1"/>
  <c r="C4" i="4" s="1"/>
  <c r="D22" i="2"/>
  <c r="D24" i="2" s="1"/>
  <c r="B4" i="4" s="1"/>
  <c r="E22" i="1"/>
  <c r="E24" i="1" s="1"/>
  <c r="C3" i="4" s="1"/>
  <c r="D22" i="1"/>
  <c r="D24" i="1" s="1"/>
  <c r="B3" i="4" s="1"/>
  <c r="D7" i="4" l="1"/>
  <c r="C7" i="4"/>
</calcChain>
</file>

<file path=xl/sharedStrings.xml><?xml version="1.0" encoding="utf-8"?>
<sst xmlns="http://schemas.openxmlformats.org/spreadsheetml/2006/main" count="234" uniqueCount="63">
  <si>
    <t>Gruppe (§)</t>
  </si>
  <si>
    <t>Felt / delelement</t>
  </si>
  <si>
    <t>Fasit</t>
  </si>
  <si>
    <t>M1 – Zero-Shot
(J / N)</t>
  </si>
  <si>
    <t>M2 – Few-Shot
(J / N)</t>
  </si>
  <si>
    <t>Kommentar / notat</t>
  </si>
  <si>
    <t>§11-2 Risikoklasse</t>
  </si>
  <si>
    <t>Korrekt RK-verdi oppgitt</t>
  </si>
  <si>
    <t>RK 3</t>
  </si>
  <si>
    <t>Korrekt hjemmel (§11-2 tabell 1)</t>
  </si>
  <si>
    <t>Korrekt begrunnelse (virksomhetstype)</t>
  </si>
  <si>
    <t>§11-3 Brannklasse</t>
  </si>
  <si>
    <t>Korrekt BKL-verdi oppgitt</t>
  </si>
  <si>
    <t>BKL 1</t>
  </si>
  <si>
    <t>Korrekt kombinasjon (RK × etasjer)</t>
  </si>
  <si>
    <t>Korrekt etasjeantall lagt til grunn</t>
  </si>
  <si>
    <t>Korrekt hjemmel (§11-3 tabell 1)</t>
  </si>
  <si>
    <t>§11-4 Ytelsesnivå</t>
  </si>
  <si>
    <t>Korrekt krav til bæresystem (R-verdi)</t>
  </si>
  <si>
    <t>Korrekt krav til branncellebegrensende (EI-verdi)</t>
  </si>
  <si>
    <t>Korrekt materialklasse angitt (A2/D osv.)</t>
  </si>
  <si>
    <t>Korrekt behandling av unntak/særregler</t>
  </si>
  <si>
    <t>Format &amp; Konsistens</t>
  </si>
  <si>
    <t>Outputformat passer Origami-feltene (J/N)</t>
  </si>
  <si>
    <t>Konsistent svar ved 2 kjøringer (J/N)</t>
  </si>
  <si>
    <t>OPPSUMMERING</t>
  </si>
  <si>
    <t>M1 – Zero-Shot</t>
  </si>
  <si>
    <t>M2 – Few-Shot</t>
  </si>
  <si>
    <t>Antall korrekte felt (J)</t>
  </si>
  <si>
    <t>Maks 13 felt</t>
  </si>
  <si>
    <t>Totalt antall felt</t>
  </si>
  <si>
    <t>Precision (%)</t>
  </si>
  <si>
    <t>Andel korrekte felt per modell</t>
  </si>
  <si>
    <t>INSTRUKSJON: Fyll inn J (korrekt) eller N (feil) i de gule cellene (kolonne D og E). Precision beregnes automatisk.</t>
  </si>
  <si>
    <t>RK 6</t>
  </si>
  <si>
    <t>BKL 3</t>
  </si>
  <si>
    <t>RK 2</t>
  </si>
  <si>
    <t>Sammenstilling – Precision per case og modell</t>
  </si>
  <si>
    <t>Case</t>
  </si>
  <si>
    <t>M1 – Zero-Shot
Precision (%)</t>
  </si>
  <si>
    <t>M2 – Few-Shot
Precision (%)</t>
  </si>
  <si>
    <t>Case 1</t>
  </si>
  <si>
    <t>Case 2</t>
  </si>
  <si>
    <t>Case 3</t>
  </si>
  <si>
    <t>Gjennomsnitt</t>
  </si>
  <si>
    <t>Alle tre cases</t>
  </si>
  <si>
    <t>Snitt Precision over alle cases</t>
  </si>
  <si>
    <t>Precision = antall korrekte felt / totalt antall felt (12). Fyll inn J/N i de individuelle case-fanene – Sammenstilling oppdateres automatisk.</t>
  </si>
  <si>
    <t>J</t>
  </si>
  <si>
    <t>-</t>
  </si>
  <si>
    <t>på edelige prompts så fikk begge korrekt</t>
  </si>
  <si>
    <t>og det sammensvarte tabellen i VTEK17 også</t>
  </si>
  <si>
    <t xml:space="preserve">Ja det var korrekt kombinasjon. </t>
  </si>
  <si>
    <t>Ja alt er hentet fra original data som er anonymt prosjekt</t>
  </si>
  <si>
    <t>tallet stemte med tabellen i VTEK17</t>
  </si>
  <si>
    <t>prompts tok hensyn til unntakene.</t>
  </si>
  <si>
    <t>Ja</t>
  </si>
  <si>
    <t>Ja output formaten er riktig</t>
  </si>
  <si>
    <t>I begge kjøringene ble svarene helt like, ord for ord</t>
  </si>
  <si>
    <t xml:space="preserve">Case 2 </t>
  </si>
  <si>
    <t>Ingen begrunnelse</t>
  </si>
  <si>
    <t xml:space="preserve">Ingen begrunnelse </t>
  </si>
  <si>
    <t xml:space="preserve">Visualisering Av Precision Per Case og Modell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</si>
</sst>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444444"/>
      <name val="Arial"/>
      <charset val="1"/>
    </font>
    <font>
      <sz val="10"/>
      <name val="Arial"/>
      <family val="2"/>
    </font>
    <font>
      <b/>
      <sz val="1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F5F9FF"/>
        <bgColor rgb="FFFFFFFF"/>
      </patternFill>
    </fill>
    <fill>
      <patternFill patternType="solid">
        <fgColor rgb="FFFFF2CC"/>
        <bgColor rgb="FFE2EFDA"/>
      </patternFill>
    </fill>
    <fill>
      <patternFill patternType="solid">
        <fgColor rgb="FFFFFFFF"/>
        <bgColor rgb="FFF5F9FF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D6E4F0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9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M1- Zero-shot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Sammenstilling!$A$3:$A$5</c:f>
              <c:strCache>
                <c:ptCount val="3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</c:strCache>
            </c:strRef>
          </c:cat>
          <c:val>
            <c:numRef>
              <c:f>Sammenstilling!$B$3:$B$5</c:f>
              <c:numCache>
                <c:formatCode>0.0%</c:formatCode>
                <c:ptCount val="3"/>
                <c:pt idx="0">
                  <c:v>0.92307692307692313</c:v>
                </c:pt>
                <c:pt idx="1">
                  <c:v>0.92307692307692313</c:v>
                </c:pt>
                <c:pt idx="2">
                  <c:v>0.92307692307692313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1-4077-86BD-412B777D51E1}"/>
            </c:ext>
          </c:extLst>
        </c:ser>
        <c:ser>
          <c:idx val="1"/>
          <c:order val="1"/>
          <c:tx>
            <c:v>M2 - Few-shot</c:v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Sammenstilling!$A$3:$A$5</c:f>
              <c:strCache>
                <c:ptCount val="3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</c:strCache>
            </c:strRef>
          </c:cat>
          <c:val>
            <c:numRef>
              <c:f>Sammenstilling!$C$3:$C$5</c:f>
              <c:numCache>
                <c:formatCode>0.0%</c:formatCode>
                <c:ptCount val="3"/>
                <c:pt idx="0">
                  <c:v>0.92307692307692313</c:v>
                </c:pt>
                <c:pt idx="1">
                  <c:v>0.92307692307692313</c:v>
                </c:pt>
                <c:pt idx="2">
                  <c:v>0.92307692307692313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1-4077-86BD-412B777D51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2587296"/>
        <c:axId val="468861576"/>
      </c:barChart>
      <c:catAx>
        <c:axId val="100258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68861576"/>
        <c:crosses val="autoZero"/>
        <c:auto val="1"/>
        <c:lblAlgn val="ctr"/>
        <c:lblOffset val="100"/>
        <c:noMultiLvlLbl val="0"/>
      </c:catAx>
      <c:valAx>
        <c:axId val="468861576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0025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133350</xdr:rowOff>
    </xdr:from>
    <xdr:to>
      <xdr:col>12</xdr:col>
      <xdr:colOff>581024</xdr:colOff>
      <xdr:row>30</xdr:row>
      <xdr:rowOff>133349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F5E4DCA-C7A6-0BCB-F31E-1D39E24D0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Normal="100" workbookViewId="0">
      <pane ySplit="2" topLeftCell="A3" activePane="bottomLeft" state="frozen"/>
      <selection pane="bottomLeft" activeCell="F6" sqref="F6"/>
    </sheetView>
  </sheetViews>
  <sheetFormatPr baseColWidth="10" defaultColWidth="8.7109375" defaultRowHeight="15" x14ac:dyDescent="0.25"/>
  <cols>
    <col min="1" max="1" width="28" customWidth="1"/>
    <col min="2" max="2" width="42" customWidth="1"/>
    <col min="3" max="5" width="14" customWidth="1"/>
    <col min="6" max="6" width="30" customWidth="1"/>
  </cols>
  <sheetData>
    <row r="1" spans="1:6" ht="24" customHeight="1" x14ac:dyDescent="0.25">
      <c r="A1" s="17" t="s">
        <v>41</v>
      </c>
      <c r="B1" s="17"/>
      <c r="C1" s="17"/>
      <c r="D1" s="17"/>
      <c r="E1" s="17"/>
      <c r="F1" s="17"/>
    </row>
    <row r="2" spans="1:6" ht="36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8" customHeight="1" x14ac:dyDescent="0.25">
      <c r="A3" s="18" t="s">
        <v>6</v>
      </c>
      <c r="B3" s="18"/>
      <c r="C3" s="18"/>
      <c r="D3" s="18"/>
      <c r="E3" s="18"/>
      <c r="F3" s="18"/>
    </row>
    <row r="4" spans="1:6" ht="29.25" customHeight="1" x14ac:dyDescent="0.25">
      <c r="A4" s="3"/>
      <c r="B4" s="3" t="s">
        <v>7</v>
      </c>
      <c r="C4" s="4" t="s">
        <v>8</v>
      </c>
      <c r="D4" s="5" t="s">
        <v>48</v>
      </c>
      <c r="E4" s="5" t="s">
        <v>48</v>
      </c>
      <c r="F4" s="3" t="s">
        <v>50</v>
      </c>
    </row>
    <row r="5" spans="1:6" ht="37.5" customHeight="1" x14ac:dyDescent="0.25">
      <c r="A5" s="6"/>
      <c r="B5" s="6" t="s">
        <v>9</v>
      </c>
      <c r="C5" s="7"/>
      <c r="D5" s="5" t="s">
        <v>48</v>
      </c>
      <c r="E5" s="5" t="s">
        <v>48</v>
      </c>
      <c r="F5" s="6" t="s">
        <v>51</v>
      </c>
    </row>
    <row r="6" spans="1:6" ht="48" customHeight="1" x14ac:dyDescent="0.25">
      <c r="A6" s="3"/>
      <c r="B6" s="3" t="s">
        <v>10</v>
      </c>
      <c r="C6" s="4"/>
      <c r="D6" s="5" t="s">
        <v>49</v>
      </c>
      <c r="E6" s="5" t="s">
        <v>49</v>
      </c>
      <c r="F6" s="16" t="s">
        <v>60</v>
      </c>
    </row>
    <row r="7" spans="1:6" ht="18" customHeight="1" x14ac:dyDescent="0.25">
      <c r="A7" s="18" t="s">
        <v>11</v>
      </c>
      <c r="B7" s="18"/>
      <c r="C7" s="18"/>
      <c r="D7" s="18"/>
      <c r="E7" s="18"/>
      <c r="F7" s="18"/>
    </row>
    <row r="8" spans="1:6" ht="36.75" customHeight="1" x14ac:dyDescent="0.25">
      <c r="A8" s="3"/>
      <c r="B8" s="3" t="s">
        <v>12</v>
      </c>
      <c r="C8" s="4" t="s">
        <v>13</v>
      </c>
      <c r="D8" s="5" t="s">
        <v>48</v>
      </c>
      <c r="E8" s="5" t="s">
        <v>48</v>
      </c>
      <c r="F8" s="3" t="s">
        <v>50</v>
      </c>
    </row>
    <row r="9" spans="1:6" ht="28.5" customHeight="1" x14ac:dyDescent="0.25">
      <c r="A9" s="6"/>
      <c r="B9" s="6" t="s">
        <v>14</v>
      </c>
      <c r="C9" s="7"/>
      <c r="D9" s="5" t="s">
        <v>48</v>
      </c>
      <c r="E9" s="5" t="s">
        <v>48</v>
      </c>
      <c r="F9" s="6" t="s">
        <v>52</v>
      </c>
    </row>
    <row r="10" spans="1:6" ht="35.25" customHeight="1" x14ac:dyDescent="0.25">
      <c r="A10" s="3"/>
      <c r="B10" s="3" t="s">
        <v>15</v>
      </c>
      <c r="C10" s="4"/>
      <c r="D10" s="5" t="s">
        <v>48</v>
      </c>
      <c r="E10" s="5" t="s">
        <v>48</v>
      </c>
      <c r="F10" s="3" t="s">
        <v>53</v>
      </c>
    </row>
    <row r="11" spans="1:6" ht="30.75" customHeight="1" x14ac:dyDescent="0.25">
      <c r="A11" s="6"/>
      <c r="B11" s="6" t="s">
        <v>16</v>
      </c>
      <c r="C11" s="7"/>
      <c r="D11" s="5" t="s">
        <v>48</v>
      </c>
      <c r="E11" s="5" t="s">
        <v>48</v>
      </c>
      <c r="F11" s="6" t="s">
        <v>54</v>
      </c>
    </row>
    <row r="12" spans="1:6" ht="18" customHeight="1" x14ac:dyDescent="0.25">
      <c r="A12" s="18" t="s">
        <v>17</v>
      </c>
      <c r="B12" s="18"/>
      <c r="C12" s="18"/>
      <c r="D12" s="18"/>
      <c r="E12" s="18"/>
      <c r="F12" s="18"/>
    </row>
    <row r="13" spans="1:6" ht="31.5" customHeight="1" x14ac:dyDescent="0.25">
      <c r="A13" s="6"/>
      <c r="B13" s="6" t="s">
        <v>18</v>
      </c>
      <c r="C13" s="7"/>
      <c r="D13" s="5" t="s">
        <v>48</v>
      </c>
      <c r="E13" s="5" t="s">
        <v>48</v>
      </c>
      <c r="F13" s="6" t="s">
        <v>50</v>
      </c>
    </row>
    <row r="14" spans="1:6" ht="21.75" customHeight="1" x14ac:dyDescent="0.25">
      <c r="A14" s="3"/>
      <c r="B14" s="3" t="s">
        <v>19</v>
      </c>
      <c r="C14" s="4"/>
      <c r="D14" s="5" t="s">
        <v>48</v>
      </c>
      <c r="E14" s="5" t="s">
        <v>48</v>
      </c>
      <c r="F14" s="3" t="s">
        <v>55</v>
      </c>
    </row>
    <row r="15" spans="1:6" ht="21.75" customHeight="1" x14ac:dyDescent="0.25">
      <c r="A15" s="6"/>
      <c r="B15" s="6" t="s">
        <v>20</v>
      </c>
      <c r="C15" s="7"/>
      <c r="D15" s="5" t="s">
        <v>48</v>
      </c>
      <c r="E15" s="5" t="s">
        <v>48</v>
      </c>
      <c r="F15" s="6" t="s">
        <v>56</v>
      </c>
    </row>
    <row r="16" spans="1:6" ht="21.75" customHeight="1" x14ac:dyDescent="0.25">
      <c r="A16" s="3"/>
      <c r="B16" s="3" t="s">
        <v>21</v>
      </c>
      <c r="C16" s="4"/>
      <c r="D16" s="5" t="s">
        <v>48</v>
      </c>
      <c r="E16" s="5" t="s">
        <v>48</v>
      </c>
      <c r="F16" s="3" t="s">
        <v>56</v>
      </c>
    </row>
    <row r="17" spans="1:6" ht="18" customHeight="1" x14ac:dyDescent="0.25">
      <c r="A17" s="18" t="s">
        <v>22</v>
      </c>
      <c r="B17" s="18"/>
      <c r="C17" s="18"/>
      <c r="D17" s="18"/>
      <c r="E17" s="18"/>
      <c r="F17" s="18"/>
    </row>
    <row r="18" spans="1:6" ht="21.75" customHeight="1" x14ac:dyDescent="0.25">
      <c r="A18" s="3"/>
      <c r="B18" s="3" t="s">
        <v>23</v>
      </c>
      <c r="C18" s="4"/>
      <c r="D18" s="5" t="s">
        <v>48</v>
      </c>
      <c r="E18" s="5" t="s">
        <v>48</v>
      </c>
      <c r="F18" s="3" t="s">
        <v>57</v>
      </c>
    </row>
    <row r="19" spans="1:6" ht="33" customHeight="1" x14ac:dyDescent="0.25">
      <c r="A19" s="6"/>
      <c r="B19" s="6" t="s">
        <v>24</v>
      </c>
      <c r="C19" s="7"/>
      <c r="D19" s="5" t="s">
        <v>48</v>
      </c>
      <c r="E19" s="5" t="s">
        <v>48</v>
      </c>
      <c r="F19" s="6" t="s">
        <v>58</v>
      </c>
    </row>
    <row r="21" spans="1:6" ht="36" customHeight="1" x14ac:dyDescent="0.25">
      <c r="A21" s="19" t="s">
        <v>25</v>
      </c>
      <c r="B21" s="19"/>
      <c r="C21" s="19"/>
      <c r="D21" s="8" t="s">
        <v>26</v>
      </c>
      <c r="E21" s="8" t="s">
        <v>27</v>
      </c>
      <c r="F21" s="9"/>
    </row>
    <row r="22" spans="1:6" ht="19.5" customHeight="1" x14ac:dyDescent="0.25">
      <c r="A22" s="20" t="s">
        <v>28</v>
      </c>
      <c r="B22" s="20"/>
      <c r="C22" s="20"/>
      <c r="D22" s="10">
        <f>SUMPRODUCT(((D4="J")+(D5="J")+(D6="J")+(D8="J")+(D9="J")+(D10="J")+(D11="J")+(D13="J")+(D14="J")+(D15="J")+(D16="J")+(D18="J")+(D19="J"))*1)</f>
        <v>12</v>
      </c>
      <c r="E22" s="10">
        <f>SUMPRODUCT(((E4="J")+(E5="J")+(E6="J")+(E8="J")+(E9="J")+(E10="J")+(E11="J")+(E13="J")+(E14="J")+(E15="J")+(E16="J")+(E18="J")+(E19="J"))*1)</f>
        <v>12</v>
      </c>
      <c r="F22" s="11" t="s">
        <v>29</v>
      </c>
    </row>
    <row r="23" spans="1:6" ht="19.5" customHeight="1" x14ac:dyDescent="0.25">
      <c r="A23" s="20" t="s">
        <v>30</v>
      </c>
      <c r="B23" s="20"/>
      <c r="C23" s="20"/>
      <c r="D23" s="12">
        <v>13</v>
      </c>
      <c r="E23" s="12">
        <v>13</v>
      </c>
      <c r="F23" s="11"/>
    </row>
    <row r="24" spans="1:6" ht="19.5" customHeight="1" x14ac:dyDescent="0.25">
      <c r="A24" s="20" t="s">
        <v>31</v>
      </c>
      <c r="B24" s="20"/>
      <c r="C24" s="20"/>
      <c r="D24" s="13">
        <f>IFERROR(D22/D23,0)</f>
        <v>0.92307692307692313</v>
      </c>
      <c r="E24" s="13">
        <f>IFERROR(E22/E23,0)</f>
        <v>0.92307692307692313</v>
      </c>
      <c r="F24" s="11" t="s">
        <v>32</v>
      </c>
    </row>
    <row r="26" spans="1:6" ht="18" customHeight="1" x14ac:dyDescent="0.25">
      <c r="A26" s="21" t="s">
        <v>33</v>
      </c>
      <c r="B26" s="21"/>
      <c r="C26" s="21"/>
      <c r="D26" s="21"/>
      <c r="E26" s="21"/>
      <c r="F26" s="21"/>
    </row>
  </sheetData>
  <mergeCells count="10">
    <mergeCell ref="A21:C21"/>
    <mergeCell ref="A22:C22"/>
    <mergeCell ref="A23:C23"/>
    <mergeCell ref="A24:C24"/>
    <mergeCell ref="A26:F26"/>
    <mergeCell ref="A1:F1"/>
    <mergeCell ref="A3:F3"/>
    <mergeCell ref="A7:F7"/>
    <mergeCell ref="A12:F12"/>
    <mergeCell ref="A17:F17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&amp;C_x000D_&amp;1#&amp;"Verdana"&amp;7&amp;K000000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zoomScaleNormal="100" workbookViewId="0">
      <pane ySplit="2" topLeftCell="A4" activePane="bottomLeft" state="frozen"/>
      <selection pane="bottomLeft" activeCell="F6" sqref="F6"/>
    </sheetView>
  </sheetViews>
  <sheetFormatPr baseColWidth="10" defaultColWidth="8.7109375" defaultRowHeight="15" x14ac:dyDescent="0.25"/>
  <cols>
    <col min="1" max="1" width="28" customWidth="1"/>
    <col min="2" max="2" width="42" customWidth="1"/>
    <col min="3" max="5" width="14" customWidth="1"/>
    <col min="6" max="6" width="30" customWidth="1"/>
  </cols>
  <sheetData>
    <row r="1" spans="1:6" ht="24" customHeight="1" x14ac:dyDescent="0.25">
      <c r="A1" s="17" t="s">
        <v>59</v>
      </c>
      <c r="B1" s="17"/>
      <c r="C1" s="17"/>
      <c r="D1" s="17"/>
      <c r="E1" s="17"/>
      <c r="F1" s="17"/>
    </row>
    <row r="2" spans="1:6" ht="36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8" customHeight="1" x14ac:dyDescent="0.25">
      <c r="A3" s="18" t="s">
        <v>6</v>
      </c>
      <c r="B3" s="18"/>
      <c r="C3" s="18"/>
      <c r="D3" s="18"/>
      <c r="E3" s="18"/>
      <c r="F3" s="18"/>
    </row>
    <row r="4" spans="1:6" ht="42" customHeight="1" x14ac:dyDescent="0.25">
      <c r="A4" s="3"/>
      <c r="B4" s="3" t="s">
        <v>7</v>
      </c>
      <c r="C4" s="4" t="s">
        <v>34</v>
      </c>
      <c r="D4" s="5" t="s">
        <v>48</v>
      </c>
      <c r="E4" s="5" t="s">
        <v>48</v>
      </c>
      <c r="F4" s="3" t="s">
        <v>50</v>
      </c>
    </row>
    <row r="5" spans="1:6" ht="35.25" customHeight="1" x14ac:dyDescent="0.25">
      <c r="A5" s="6"/>
      <c r="B5" s="6" t="s">
        <v>9</v>
      </c>
      <c r="C5" s="7"/>
      <c r="D5" s="5" t="s">
        <v>48</v>
      </c>
      <c r="E5" s="5" t="s">
        <v>48</v>
      </c>
      <c r="F5" s="6" t="s">
        <v>51</v>
      </c>
    </row>
    <row r="6" spans="1:6" ht="44.25" customHeight="1" x14ac:dyDescent="0.25">
      <c r="A6" s="3"/>
      <c r="B6" s="3" t="s">
        <v>10</v>
      </c>
      <c r="C6" s="4"/>
      <c r="D6" s="5" t="s">
        <v>49</v>
      </c>
      <c r="E6" s="5" t="s">
        <v>49</v>
      </c>
      <c r="F6" s="16" t="s">
        <v>60</v>
      </c>
    </row>
    <row r="7" spans="1:6" ht="18" customHeight="1" x14ac:dyDescent="0.25">
      <c r="A7" s="18" t="s">
        <v>11</v>
      </c>
      <c r="B7" s="18"/>
      <c r="C7" s="18"/>
      <c r="D7" s="18"/>
      <c r="E7" s="18"/>
      <c r="F7" s="18"/>
    </row>
    <row r="8" spans="1:6" ht="51.75" customHeight="1" x14ac:dyDescent="0.25">
      <c r="A8" s="3"/>
      <c r="B8" s="3" t="s">
        <v>12</v>
      </c>
      <c r="C8" s="4" t="s">
        <v>35</v>
      </c>
      <c r="D8" s="5" t="s">
        <v>48</v>
      </c>
      <c r="E8" s="5" t="s">
        <v>48</v>
      </c>
      <c r="F8" s="3" t="s">
        <v>50</v>
      </c>
    </row>
    <row r="9" spans="1:6" ht="34.5" customHeight="1" x14ac:dyDescent="0.25">
      <c r="A9" s="6"/>
      <c r="B9" s="6" t="s">
        <v>14</v>
      </c>
      <c r="C9" s="7"/>
      <c r="D9" s="5" t="s">
        <v>48</v>
      </c>
      <c r="E9" s="5" t="s">
        <v>48</v>
      </c>
      <c r="F9" s="6" t="s">
        <v>52</v>
      </c>
    </row>
    <row r="10" spans="1:6" ht="37.5" customHeight="1" x14ac:dyDescent="0.25">
      <c r="A10" s="3"/>
      <c r="B10" s="3" t="s">
        <v>15</v>
      </c>
      <c r="C10" s="4"/>
      <c r="D10" s="5" t="s">
        <v>48</v>
      </c>
      <c r="E10" s="5" t="s">
        <v>48</v>
      </c>
      <c r="F10" s="3" t="s">
        <v>53</v>
      </c>
    </row>
    <row r="11" spans="1:6" ht="44.25" customHeight="1" x14ac:dyDescent="0.25">
      <c r="A11" s="6"/>
      <c r="B11" s="6" t="s">
        <v>16</v>
      </c>
      <c r="C11" s="7"/>
      <c r="D11" s="5" t="s">
        <v>48</v>
      </c>
      <c r="E11" s="5" t="s">
        <v>48</v>
      </c>
      <c r="F11" s="6" t="s">
        <v>54</v>
      </c>
    </row>
    <row r="12" spans="1:6" ht="18" customHeight="1" x14ac:dyDescent="0.25">
      <c r="A12" s="18" t="s">
        <v>17</v>
      </c>
      <c r="B12" s="18"/>
      <c r="C12" s="18"/>
      <c r="D12" s="18"/>
      <c r="E12" s="18"/>
      <c r="F12" s="18"/>
    </row>
    <row r="13" spans="1:6" ht="32.25" customHeight="1" x14ac:dyDescent="0.25">
      <c r="A13" s="6"/>
      <c r="B13" s="6" t="s">
        <v>18</v>
      </c>
      <c r="C13" s="7"/>
      <c r="D13" s="5" t="s">
        <v>48</v>
      </c>
      <c r="E13" s="5" t="s">
        <v>48</v>
      </c>
      <c r="F13" s="6" t="s">
        <v>50</v>
      </c>
    </row>
    <row r="14" spans="1:6" ht="37.5" customHeight="1" x14ac:dyDescent="0.25">
      <c r="A14" s="3"/>
      <c r="B14" s="3" t="s">
        <v>19</v>
      </c>
      <c r="C14" s="4"/>
      <c r="D14" s="5" t="s">
        <v>48</v>
      </c>
      <c r="E14" s="5" t="s">
        <v>48</v>
      </c>
      <c r="F14" s="3" t="s">
        <v>55</v>
      </c>
    </row>
    <row r="15" spans="1:6" ht="21.75" customHeight="1" x14ac:dyDescent="0.25">
      <c r="A15" s="6"/>
      <c r="B15" s="6" t="s">
        <v>20</v>
      </c>
      <c r="C15" s="7"/>
      <c r="D15" s="5" t="s">
        <v>48</v>
      </c>
      <c r="E15" s="5" t="s">
        <v>48</v>
      </c>
      <c r="F15" s="6" t="s">
        <v>56</v>
      </c>
    </row>
    <row r="16" spans="1:6" ht="21.75" customHeight="1" x14ac:dyDescent="0.25">
      <c r="A16" s="3"/>
      <c r="B16" s="3" t="s">
        <v>21</v>
      </c>
      <c r="C16" s="4"/>
      <c r="D16" s="5" t="s">
        <v>48</v>
      </c>
      <c r="E16" s="5" t="s">
        <v>48</v>
      </c>
      <c r="F16" s="3" t="s">
        <v>56</v>
      </c>
    </row>
    <row r="17" spans="1:6" ht="18" customHeight="1" x14ac:dyDescent="0.25">
      <c r="A17" s="18" t="s">
        <v>22</v>
      </c>
      <c r="B17" s="18"/>
      <c r="C17" s="18"/>
      <c r="D17" s="18"/>
      <c r="E17" s="18"/>
      <c r="F17" s="18"/>
    </row>
    <row r="18" spans="1:6" ht="37.5" customHeight="1" x14ac:dyDescent="0.25">
      <c r="A18" s="3"/>
      <c r="B18" s="3" t="s">
        <v>23</v>
      </c>
      <c r="C18" s="4"/>
      <c r="D18" s="5" t="s">
        <v>48</v>
      </c>
      <c r="E18" s="5" t="s">
        <v>48</v>
      </c>
      <c r="F18" s="3" t="s">
        <v>57</v>
      </c>
    </row>
    <row r="19" spans="1:6" ht="33.75" customHeight="1" x14ac:dyDescent="0.25">
      <c r="A19" s="6"/>
      <c r="B19" s="6" t="s">
        <v>24</v>
      </c>
      <c r="C19" s="7"/>
      <c r="D19" s="5" t="s">
        <v>48</v>
      </c>
      <c r="E19" s="5" t="s">
        <v>48</v>
      </c>
      <c r="F19" s="6" t="s">
        <v>58</v>
      </c>
    </row>
    <row r="21" spans="1:6" ht="28.5" customHeight="1" x14ac:dyDescent="0.25">
      <c r="A21" s="19" t="s">
        <v>25</v>
      </c>
      <c r="B21" s="19"/>
      <c r="C21" s="19"/>
      <c r="D21" s="8" t="s">
        <v>26</v>
      </c>
      <c r="E21" s="8" t="s">
        <v>27</v>
      </c>
      <c r="F21" s="9"/>
    </row>
    <row r="22" spans="1:6" ht="19.5" customHeight="1" x14ac:dyDescent="0.25">
      <c r="A22" s="20" t="s">
        <v>28</v>
      </c>
      <c r="B22" s="20"/>
      <c r="C22" s="20"/>
      <c r="D22" s="10">
        <f>SUMPRODUCT(((D4="J")+(D5="J")+(D6="J")+(D8="J")+(D9="J")+(D10="J")+(D11="J")+(D13="J")+(D14="J")+(D15="J")+(D16="J")+(D18="J")+(D19="J"))*1)</f>
        <v>12</v>
      </c>
      <c r="E22" s="10">
        <f>SUMPRODUCT(((E4="J")+(E5="J")+(E6="J")+(E8="J")+(E9="J")+(E10="J")+(E11="J")+(E13="J")+(E14="J")+(E15="J")+(E16="J")+(E18="J")+(E19="J"))*1)</f>
        <v>12</v>
      </c>
      <c r="F22" s="11" t="s">
        <v>29</v>
      </c>
    </row>
    <row r="23" spans="1:6" ht="19.5" customHeight="1" x14ac:dyDescent="0.25">
      <c r="A23" s="20" t="s">
        <v>30</v>
      </c>
      <c r="B23" s="20"/>
      <c r="C23" s="20"/>
      <c r="D23" s="12">
        <v>13</v>
      </c>
      <c r="E23" s="12">
        <v>13</v>
      </c>
      <c r="F23" s="11"/>
    </row>
    <row r="24" spans="1:6" ht="19.5" customHeight="1" x14ac:dyDescent="0.25">
      <c r="A24" s="20" t="s">
        <v>31</v>
      </c>
      <c r="B24" s="20"/>
      <c r="C24" s="20"/>
      <c r="D24" s="13">
        <f>IFERROR(D22/D23,0)</f>
        <v>0.92307692307692313</v>
      </c>
      <c r="E24" s="13">
        <f>IFERROR(E22/E23,0)</f>
        <v>0.92307692307692313</v>
      </c>
      <c r="F24" s="11" t="s">
        <v>32</v>
      </c>
    </row>
    <row r="26" spans="1:6" ht="18" customHeight="1" x14ac:dyDescent="0.25">
      <c r="A26" s="21" t="s">
        <v>33</v>
      </c>
      <c r="B26" s="21"/>
      <c r="C26" s="21"/>
      <c r="D26" s="21"/>
      <c r="E26" s="21"/>
      <c r="F26" s="21"/>
    </row>
  </sheetData>
  <mergeCells count="10">
    <mergeCell ref="A21:C21"/>
    <mergeCell ref="A22:C22"/>
    <mergeCell ref="A23:C23"/>
    <mergeCell ref="A24:C24"/>
    <mergeCell ref="A26:F26"/>
    <mergeCell ref="A1:F1"/>
    <mergeCell ref="A3:F3"/>
    <mergeCell ref="A7:F7"/>
    <mergeCell ref="A12:F12"/>
    <mergeCell ref="A17:F17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&amp;C_x000D_&amp;1#&amp;"Verdana"&amp;7&amp;K000000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zoomScaleNormal="100" workbookViewId="0">
      <pane ySplit="2" topLeftCell="A3" activePane="bottomLeft" state="frozen"/>
      <selection pane="bottomLeft" activeCell="A7" sqref="A7:F7"/>
    </sheetView>
  </sheetViews>
  <sheetFormatPr baseColWidth="10" defaultColWidth="8.7109375" defaultRowHeight="15" x14ac:dyDescent="0.25"/>
  <cols>
    <col min="1" max="1" width="28" customWidth="1"/>
    <col min="2" max="2" width="42" customWidth="1"/>
    <col min="3" max="5" width="14" customWidth="1"/>
    <col min="6" max="6" width="30" customWidth="1"/>
  </cols>
  <sheetData>
    <row r="1" spans="1:6" ht="24" customHeight="1" x14ac:dyDescent="0.25">
      <c r="A1" s="17" t="s">
        <v>43</v>
      </c>
      <c r="B1" s="17"/>
      <c r="C1" s="17"/>
      <c r="D1" s="17"/>
      <c r="E1" s="17"/>
      <c r="F1" s="17"/>
    </row>
    <row r="2" spans="1:6" ht="36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8" customHeight="1" x14ac:dyDescent="0.25">
      <c r="A3" s="18" t="s">
        <v>6</v>
      </c>
      <c r="B3" s="18"/>
      <c r="C3" s="18"/>
      <c r="D3" s="18"/>
      <c r="E3" s="18"/>
      <c r="F3" s="18"/>
    </row>
    <row r="4" spans="1:6" ht="33" customHeight="1" x14ac:dyDescent="0.25">
      <c r="A4" s="3"/>
      <c r="B4" s="3" t="s">
        <v>7</v>
      </c>
      <c r="C4" s="4" t="s">
        <v>36</v>
      </c>
      <c r="D4" s="5" t="s">
        <v>48</v>
      </c>
      <c r="E4" s="5" t="s">
        <v>48</v>
      </c>
      <c r="F4" s="3" t="s">
        <v>50</v>
      </c>
    </row>
    <row r="5" spans="1:6" ht="32.25" customHeight="1" x14ac:dyDescent="0.25">
      <c r="A5" s="6"/>
      <c r="B5" s="6" t="s">
        <v>9</v>
      </c>
      <c r="C5" s="7"/>
      <c r="D5" s="5" t="s">
        <v>48</v>
      </c>
      <c r="E5" s="5" t="s">
        <v>48</v>
      </c>
      <c r="F5" s="6" t="s">
        <v>51</v>
      </c>
    </row>
    <row r="6" spans="1:6" ht="49.5" customHeight="1" x14ac:dyDescent="0.25">
      <c r="A6" s="3"/>
      <c r="B6" s="3" t="s">
        <v>10</v>
      </c>
      <c r="C6" s="4"/>
      <c r="D6" s="5" t="s">
        <v>49</v>
      </c>
      <c r="E6" s="5" t="s">
        <v>49</v>
      </c>
      <c r="F6" s="16" t="s">
        <v>61</v>
      </c>
    </row>
    <row r="7" spans="1:6" ht="18" customHeight="1" x14ac:dyDescent="0.25">
      <c r="A7" s="18" t="s">
        <v>11</v>
      </c>
      <c r="B7" s="18"/>
      <c r="C7" s="18"/>
      <c r="D7" s="18"/>
      <c r="E7" s="18"/>
      <c r="F7" s="18"/>
    </row>
    <row r="8" spans="1:6" ht="36" customHeight="1" x14ac:dyDescent="0.25">
      <c r="A8" s="3"/>
      <c r="B8" s="3" t="s">
        <v>12</v>
      </c>
      <c r="C8" s="4" t="s">
        <v>35</v>
      </c>
      <c r="D8" s="5" t="s">
        <v>48</v>
      </c>
      <c r="E8" s="5" t="s">
        <v>48</v>
      </c>
      <c r="F8" s="3" t="s">
        <v>50</v>
      </c>
    </row>
    <row r="9" spans="1:6" ht="33" customHeight="1" x14ac:dyDescent="0.25">
      <c r="A9" s="6"/>
      <c r="B9" s="6" t="s">
        <v>14</v>
      </c>
      <c r="C9" s="7"/>
      <c r="D9" s="5" t="s">
        <v>48</v>
      </c>
      <c r="E9" s="5" t="s">
        <v>48</v>
      </c>
      <c r="F9" s="6" t="s">
        <v>52</v>
      </c>
    </row>
    <row r="10" spans="1:6" ht="32.25" customHeight="1" x14ac:dyDescent="0.25">
      <c r="A10" s="3"/>
      <c r="B10" s="3" t="s">
        <v>15</v>
      </c>
      <c r="C10" s="4"/>
      <c r="D10" s="5" t="s">
        <v>48</v>
      </c>
      <c r="E10" s="5" t="s">
        <v>48</v>
      </c>
      <c r="F10" s="3" t="s">
        <v>53</v>
      </c>
    </row>
    <row r="11" spans="1:6" ht="30" customHeight="1" x14ac:dyDescent="0.25">
      <c r="A11" s="6"/>
      <c r="B11" s="6" t="s">
        <v>16</v>
      </c>
      <c r="C11" s="7"/>
      <c r="D11" s="5" t="s">
        <v>48</v>
      </c>
      <c r="E11" s="5" t="s">
        <v>48</v>
      </c>
      <c r="F11" s="6" t="s">
        <v>54</v>
      </c>
    </row>
    <row r="12" spans="1:6" ht="18" customHeight="1" x14ac:dyDescent="0.25">
      <c r="A12" s="18" t="s">
        <v>17</v>
      </c>
      <c r="B12" s="18"/>
      <c r="C12" s="18"/>
      <c r="D12" s="18"/>
      <c r="E12" s="18"/>
      <c r="F12" s="18"/>
    </row>
    <row r="13" spans="1:6" ht="32.25" customHeight="1" x14ac:dyDescent="0.25">
      <c r="A13" s="6"/>
      <c r="B13" s="6" t="s">
        <v>18</v>
      </c>
      <c r="C13" s="7"/>
      <c r="D13" s="5" t="s">
        <v>48</v>
      </c>
      <c r="E13" s="5" t="s">
        <v>48</v>
      </c>
      <c r="F13" s="6" t="s">
        <v>50</v>
      </c>
    </row>
    <row r="14" spans="1:6" ht="32.25" customHeight="1" x14ac:dyDescent="0.25">
      <c r="A14" s="3"/>
      <c r="B14" s="3" t="s">
        <v>19</v>
      </c>
      <c r="C14" s="4"/>
      <c r="D14" s="5" t="s">
        <v>48</v>
      </c>
      <c r="E14" s="5" t="s">
        <v>48</v>
      </c>
      <c r="F14" s="3" t="s">
        <v>55</v>
      </c>
    </row>
    <row r="15" spans="1:6" ht="21.75" customHeight="1" x14ac:dyDescent="0.25">
      <c r="A15" s="6"/>
      <c r="B15" s="6" t="s">
        <v>20</v>
      </c>
      <c r="C15" s="7"/>
      <c r="D15" s="5" t="s">
        <v>48</v>
      </c>
      <c r="E15" s="5" t="s">
        <v>48</v>
      </c>
      <c r="F15" s="6" t="s">
        <v>56</v>
      </c>
    </row>
    <row r="16" spans="1:6" ht="21.75" customHeight="1" x14ac:dyDescent="0.25">
      <c r="A16" s="3"/>
      <c r="B16" s="3" t="s">
        <v>21</v>
      </c>
      <c r="C16" s="4"/>
      <c r="D16" s="5" t="s">
        <v>48</v>
      </c>
      <c r="E16" s="5" t="s">
        <v>48</v>
      </c>
      <c r="F16" s="3" t="s">
        <v>56</v>
      </c>
    </row>
    <row r="17" spans="1:6" ht="18" customHeight="1" x14ac:dyDescent="0.25">
      <c r="A17" s="18" t="s">
        <v>22</v>
      </c>
      <c r="B17" s="18"/>
      <c r="C17" s="18"/>
      <c r="D17" s="18"/>
      <c r="E17" s="18"/>
      <c r="F17" s="18"/>
    </row>
    <row r="18" spans="1:6" ht="21.75" customHeight="1" x14ac:dyDescent="0.25">
      <c r="A18" s="3"/>
      <c r="B18" s="3" t="s">
        <v>23</v>
      </c>
      <c r="C18" s="4"/>
      <c r="D18" s="5" t="s">
        <v>48</v>
      </c>
      <c r="E18" s="5" t="s">
        <v>48</v>
      </c>
      <c r="F18" s="3" t="s">
        <v>57</v>
      </c>
    </row>
    <row r="19" spans="1:6" ht="33" customHeight="1" x14ac:dyDescent="0.25">
      <c r="A19" s="6"/>
      <c r="B19" s="6" t="s">
        <v>24</v>
      </c>
      <c r="C19" s="7"/>
      <c r="D19" s="5" t="s">
        <v>48</v>
      </c>
      <c r="E19" s="5" t="s">
        <v>48</v>
      </c>
      <c r="F19" s="6" t="s">
        <v>58</v>
      </c>
    </row>
    <row r="21" spans="1:6" ht="36" customHeight="1" x14ac:dyDescent="0.25">
      <c r="A21" s="19" t="s">
        <v>25</v>
      </c>
      <c r="B21" s="19"/>
      <c r="C21" s="19"/>
      <c r="D21" s="8" t="s">
        <v>26</v>
      </c>
      <c r="E21" s="8" t="s">
        <v>27</v>
      </c>
      <c r="F21" s="9"/>
    </row>
    <row r="22" spans="1:6" ht="19.5" customHeight="1" x14ac:dyDescent="0.25">
      <c r="A22" s="20" t="s">
        <v>28</v>
      </c>
      <c r="B22" s="20"/>
      <c r="C22" s="20"/>
      <c r="D22" s="10">
        <f>SUMPRODUCT(((D4="J")+(D5="J")+(D6="J")+(D8="J")+(D9="J")+(D10="J")+(D11="J")+(D13="J")+(D14="J")+(D15="J")+(D16="J")+(D18="J")+(D19="J"))*1)</f>
        <v>12</v>
      </c>
      <c r="E22" s="10">
        <f>SUMPRODUCT(((E4="J")+(E5="J")+(E6="J")+(E8="J")+(E9="J")+(E10="J")+(E11="J")+(E13="J")+(E14="J")+(E15="J")+(E16="J")+(E18="J")+(E19="J"))*1)</f>
        <v>12</v>
      </c>
      <c r="F22" s="11" t="s">
        <v>29</v>
      </c>
    </row>
    <row r="23" spans="1:6" ht="19.5" customHeight="1" x14ac:dyDescent="0.25">
      <c r="A23" s="20" t="s">
        <v>30</v>
      </c>
      <c r="B23" s="20"/>
      <c r="C23" s="20"/>
      <c r="D23" s="12">
        <v>13</v>
      </c>
      <c r="E23" s="12">
        <v>13</v>
      </c>
      <c r="F23" s="11"/>
    </row>
    <row r="24" spans="1:6" ht="19.5" customHeight="1" x14ac:dyDescent="0.25">
      <c r="A24" s="20" t="s">
        <v>31</v>
      </c>
      <c r="B24" s="20"/>
      <c r="C24" s="20"/>
      <c r="D24" s="13">
        <f>IFERROR(D22/D23,0)</f>
        <v>0.92307692307692313</v>
      </c>
      <c r="E24" s="13">
        <f>IFERROR(E22/E23,0)</f>
        <v>0.92307692307692313</v>
      </c>
      <c r="F24" s="11" t="s">
        <v>32</v>
      </c>
    </row>
    <row r="26" spans="1:6" ht="18" customHeight="1" x14ac:dyDescent="0.25">
      <c r="A26" s="21" t="s">
        <v>33</v>
      </c>
      <c r="B26" s="21"/>
      <c r="C26" s="21"/>
      <c r="D26" s="21"/>
      <c r="E26" s="21"/>
      <c r="F26" s="21"/>
    </row>
  </sheetData>
  <mergeCells count="10">
    <mergeCell ref="A21:C21"/>
    <mergeCell ref="A22:C22"/>
    <mergeCell ref="A23:C23"/>
    <mergeCell ref="A24:C24"/>
    <mergeCell ref="A26:F26"/>
    <mergeCell ref="A1:F1"/>
    <mergeCell ref="A3:F3"/>
    <mergeCell ref="A7:F7"/>
    <mergeCell ref="A12:F12"/>
    <mergeCell ref="A17:F17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&amp;C_x000D_&amp;1#&amp;"Verdana"&amp;7&amp;K000000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tabSelected="1" zoomScaleNormal="100" workbookViewId="0">
      <pane ySplit="2" topLeftCell="A3" activePane="bottomLeft" state="frozen"/>
      <selection pane="bottomLeft" activeCell="M6" sqref="M6"/>
    </sheetView>
  </sheetViews>
  <sheetFormatPr baseColWidth="10" defaultColWidth="8.7109375" defaultRowHeight="15" x14ac:dyDescent="0.25"/>
  <cols>
    <col min="1" max="1" width="20" customWidth="1"/>
    <col min="2" max="2" width="22" customWidth="1"/>
    <col min="3" max="4" width="16" customWidth="1"/>
    <col min="5" max="5" width="30" customWidth="1"/>
  </cols>
  <sheetData>
    <row r="1" spans="1:13" ht="24" customHeight="1" x14ac:dyDescent="0.25">
      <c r="A1" s="22" t="s">
        <v>37</v>
      </c>
      <c r="B1" s="22"/>
      <c r="C1" s="22"/>
    </row>
    <row r="2" spans="1:13" ht="36" customHeight="1" x14ac:dyDescent="0.25">
      <c r="A2" s="2" t="s">
        <v>38</v>
      </c>
      <c r="B2" s="2" t="s">
        <v>39</v>
      </c>
      <c r="C2" s="2" t="s">
        <v>40</v>
      </c>
    </row>
    <row r="3" spans="1:13" ht="19.5" customHeight="1" x14ac:dyDescent="0.25">
      <c r="A3" s="14" t="s">
        <v>41</v>
      </c>
      <c r="B3" s="15">
        <f>'Case 1'!D24</f>
        <v>0.92307692307692313</v>
      </c>
      <c r="C3" s="15">
        <f>'Case 1'!E24</f>
        <v>0.92307692307692313</v>
      </c>
    </row>
    <row r="4" spans="1:13" ht="19.5" customHeight="1" x14ac:dyDescent="0.25">
      <c r="A4" s="14" t="s">
        <v>42</v>
      </c>
      <c r="B4" s="15">
        <f>'Case 2'!D24</f>
        <v>0.92307692307692313</v>
      </c>
      <c r="C4" s="15">
        <f>'Case 2'!E24</f>
        <v>0.92307692307692313</v>
      </c>
    </row>
    <row r="5" spans="1:13" ht="19.5" customHeight="1" x14ac:dyDescent="0.25">
      <c r="A5" s="14" t="s">
        <v>43</v>
      </c>
      <c r="B5" s="15">
        <f>'Case 3'!D24</f>
        <v>0.92307692307692313</v>
      </c>
      <c r="C5" s="15">
        <f>'Case 3'!E24</f>
        <v>0.92307692307692313</v>
      </c>
    </row>
    <row r="7" spans="1:13" ht="19.5" customHeight="1" x14ac:dyDescent="0.25">
      <c r="A7" s="1" t="s">
        <v>44</v>
      </c>
      <c r="B7" s="1" t="s">
        <v>45</v>
      </c>
      <c r="C7" s="13">
        <f>AVERAGE(B3:B5)</f>
        <v>0.92307692307692302</v>
      </c>
      <c r="D7" s="13">
        <f>AVERAGE(C3:C5)</f>
        <v>0.92307692307692302</v>
      </c>
      <c r="E7" s="11" t="s">
        <v>46</v>
      </c>
    </row>
    <row r="9" spans="1:13" ht="30" customHeight="1" x14ac:dyDescent="0.25">
      <c r="A9" s="21" t="s">
        <v>47</v>
      </c>
      <c r="B9" s="21"/>
      <c r="C9" s="21"/>
      <c r="D9" s="21"/>
      <c r="E9" s="21"/>
    </row>
    <row r="12" spans="1:13" ht="13.5" customHeight="1" x14ac:dyDescent="0.25"/>
    <row r="13" spans="1:13" hidden="1" x14ac:dyDescent="0.25"/>
    <row r="14" spans="1:13" ht="32.25" customHeight="1" thickBot="1" x14ac:dyDescent="0.3">
      <c r="F14" s="23" t="s">
        <v>62</v>
      </c>
      <c r="G14" s="23"/>
      <c r="H14" s="23"/>
      <c r="I14" s="23"/>
      <c r="J14" s="23"/>
      <c r="K14" s="23"/>
      <c r="L14" s="23"/>
      <c r="M14" s="23"/>
    </row>
  </sheetData>
  <mergeCells count="3">
    <mergeCell ref="A9:E9"/>
    <mergeCell ref="A1:C1"/>
    <mergeCell ref="F14:M14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&amp;C_x000D_&amp;1#&amp;"Verdana"&amp;7&amp;K000000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Case 1</vt:lpstr>
      <vt:lpstr>Case 2</vt:lpstr>
      <vt:lpstr>Case 3</vt:lpstr>
      <vt:lpstr>Sammenstilling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Ahmad Rezaie</cp:lastModifiedBy>
  <cp:revision>0</cp:revision>
  <dcterms:created xsi:type="dcterms:W3CDTF">2026-04-28T15:56:05Z</dcterms:created>
  <dcterms:modified xsi:type="dcterms:W3CDTF">2026-05-11T11:57:53Z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2026-04-28T16:40:10Z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c5582a82-675c-4348-bc8e-a404fb6657cd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  <property fmtid="{D5CDD505-2E9C-101B-9397-08002B2CF9AE}" pid="10" name="Folder_Number">
    <vt:lpwstr/>
  </property>
  <property fmtid="{D5CDD505-2E9C-101B-9397-08002B2CF9AE}" pid="11" name="Folder_Code">
    <vt:lpwstr/>
  </property>
  <property fmtid="{D5CDD505-2E9C-101B-9397-08002B2CF9AE}" pid="12" name="Folder_Name">
    <vt:lpwstr/>
  </property>
  <property fmtid="{D5CDD505-2E9C-101B-9397-08002B2CF9AE}" pid="13" name="Folder_Description">
    <vt:lpwstr/>
  </property>
  <property fmtid="{D5CDD505-2E9C-101B-9397-08002B2CF9AE}" pid="14" name="/Folder_Name/">
    <vt:lpwstr/>
  </property>
  <property fmtid="{D5CDD505-2E9C-101B-9397-08002B2CF9AE}" pid="15" name="/Folder_Description/">
    <vt:lpwstr/>
  </property>
  <property fmtid="{D5CDD505-2E9C-101B-9397-08002B2CF9AE}" pid="16" name="Folder_Version">
    <vt:lpwstr/>
  </property>
  <property fmtid="{D5CDD505-2E9C-101B-9397-08002B2CF9AE}" pid="17" name="Folder_VersionSeq">
    <vt:lpwstr/>
  </property>
  <property fmtid="{D5CDD505-2E9C-101B-9397-08002B2CF9AE}" pid="18" name="Folder_Manager">
    <vt:lpwstr/>
  </property>
  <property fmtid="{D5CDD505-2E9C-101B-9397-08002B2CF9AE}" pid="19" name="Folder_ManagerDesc">
    <vt:lpwstr/>
  </property>
  <property fmtid="{D5CDD505-2E9C-101B-9397-08002B2CF9AE}" pid="20" name="Folder_Storage">
    <vt:lpwstr/>
  </property>
  <property fmtid="{D5CDD505-2E9C-101B-9397-08002B2CF9AE}" pid="21" name="Folder_StorageDesc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CreateDate">
    <vt:lpwstr/>
  </property>
  <property fmtid="{D5CDD505-2E9C-101B-9397-08002B2CF9AE}" pid="25" name="Folder_Updater">
    <vt:lpwstr/>
  </property>
  <property fmtid="{D5CDD505-2E9C-101B-9397-08002B2CF9AE}" pid="26" name="Folder_UpdaterDesc">
    <vt:lpwstr/>
  </property>
  <property fmtid="{D5CDD505-2E9C-101B-9397-08002B2CF9AE}" pid="27" name="Folder_UpdateDate">
    <vt:lpwstr/>
  </property>
  <property fmtid="{D5CDD505-2E9C-101B-9397-08002B2CF9AE}" pid="28" name="Document_Number">
    <vt:lpwstr/>
  </property>
  <property fmtid="{D5CDD505-2E9C-101B-9397-08002B2CF9AE}" pid="29" name="Document_Name">
    <vt:lpwstr/>
  </property>
  <property fmtid="{D5CDD505-2E9C-101B-9397-08002B2CF9AE}" pid="30" name="Document_FileName">
    <vt:lpwstr/>
  </property>
  <property fmtid="{D5CDD505-2E9C-101B-9397-08002B2CF9AE}" pid="31" name="Document_Version">
    <vt:lpwstr/>
  </property>
  <property fmtid="{D5CDD505-2E9C-101B-9397-08002B2CF9AE}" pid="32" name="Document_VersionSeq">
    <vt:lpwstr/>
  </property>
  <property fmtid="{D5CDD505-2E9C-101B-9397-08002B2CF9AE}" pid="33" name="Document_Creator">
    <vt:lpwstr/>
  </property>
  <property fmtid="{D5CDD505-2E9C-101B-9397-08002B2CF9AE}" pid="34" name="Document_CreatorDesc">
    <vt:lpwstr/>
  </property>
  <property fmtid="{D5CDD505-2E9C-101B-9397-08002B2CF9AE}" pid="35" name="Document_CreateDate">
    <vt:lpwstr/>
  </property>
  <property fmtid="{D5CDD505-2E9C-101B-9397-08002B2CF9AE}" pid="36" name="Document_Updater">
    <vt:lpwstr/>
  </property>
  <property fmtid="{D5CDD505-2E9C-101B-9397-08002B2CF9AE}" pid="37" name="Document_UpdaterDesc">
    <vt:lpwstr/>
  </property>
  <property fmtid="{D5CDD505-2E9C-101B-9397-08002B2CF9AE}" pid="38" name="Document_UpdateDate">
    <vt:lpwstr/>
  </property>
  <property fmtid="{D5CDD505-2E9C-101B-9397-08002B2CF9AE}" pid="39" name="Document_Size">
    <vt:lpwstr/>
  </property>
  <property fmtid="{D5CDD505-2E9C-101B-9397-08002B2CF9AE}" pid="40" name="Document_Storage">
    <vt:lpwstr/>
  </property>
  <property fmtid="{D5CDD505-2E9C-101B-9397-08002B2CF9AE}" pid="41" name="Document_StorageDesc">
    <vt:lpwstr/>
  </property>
  <property fmtid="{D5CDD505-2E9C-101B-9397-08002B2CF9AE}" pid="42" name="Document_Department">
    <vt:lpwstr/>
  </property>
  <property fmtid="{D5CDD505-2E9C-101B-9397-08002B2CF9AE}" pid="43" name="Document_DepartmentDesc">
    <vt:lpwstr/>
  </property>
</Properties>
</file>
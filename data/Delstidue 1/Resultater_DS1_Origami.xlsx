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mboll-my.sharepoint.com/personal/ahmad_rezaie_ramboll_no/Documents/"/>
    </mc:Choice>
  </mc:AlternateContent>
  <xr:revisionPtr revIDLastSave="55" documentId="8_{C64A8CAB-14C6-401B-A689-679E1038BF6C}" xr6:coauthVersionLast="47" xr6:coauthVersionMax="47" xr10:uidLastSave="{9A6303CA-46AC-419C-980B-1F60F0FED253}"/>
  <bookViews>
    <workbookView xWindow="28680" yWindow="-1965" windowWidth="29040" windowHeight="17520" tabRatio="500" xr2:uid="{00000000-000D-0000-FFFF-FFFF00000000}"/>
  </bookViews>
  <sheets>
    <sheet name="Rådata" sheetId="1" r:id="rId1"/>
    <sheet name="Analyse og resultater" sheetId="2" r:id="rId2"/>
    <sheet name="Instruksjoner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2" l="1"/>
  <c r="H27" i="2"/>
  <c r="G27" i="2"/>
  <c r="F27" i="2"/>
  <c r="E27" i="2"/>
  <c r="D27" i="2"/>
  <c r="I26" i="2"/>
  <c r="H26" i="2"/>
  <c r="G26" i="2"/>
  <c r="F26" i="2"/>
  <c r="E26" i="2"/>
  <c r="D26" i="2"/>
  <c r="I25" i="2"/>
  <c r="H25" i="2"/>
  <c r="G25" i="2"/>
  <c r="F25" i="2"/>
  <c r="E25" i="2"/>
  <c r="D25" i="2"/>
  <c r="I24" i="2"/>
  <c r="H24" i="2"/>
  <c r="G24" i="2"/>
  <c r="F24" i="2"/>
  <c r="E24" i="2"/>
  <c r="D24" i="2"/>
  <c r="I23" i="2"/>
  <c r="H23" i="2"/>
  <c r="G23" i="2"/>
  <c r="F23" i="2"/>
  <c r="E23" i="2"/>
  <c r="D23" i="2"/>
  <c r="I22" i="2"/>
  <c r="H22" i="2"/>
  <c r="G22" i="2"/>
  <c r="F22" i="2"/>
  <c r="E22" i="2"/>
  <c r="D22" i="2"/>
  <c r="I21" i="2"/>
  <c r="H21" i="2"/>
  <c r="G21" i="2"/>
  <c r="F21" i="2"/>
  <c r="E21" i="2"/>
  <c r="D21" i="2"/>
  <c r="H11" i="2"/>
  <c r="K11" i="2"/>
  <c r="K7" i="2"/>
  <c r="K8" i="2"/>
  <c r="K5" i="2"/>
  <c r="K4" i="2"/>
  <c r="J11" i="2"/>
  <c r="J10" i="2"/>
  <c r="K10" i="2" s="1"/>
  <c r="J8" i="2"/>
  <c r="J7" i="2"/>
  <c r="J5" i="2"/>
  <c r="J4" i="2"/>
  <c r="I11" i="2"/>
  <c r="I10" i="2"/>
  <c r="I8" i="2"/>
  <c r="I7" i="2"/>
  <c r="I5" i="2"/>
  <c r="I4" i="2"/>
  <c r="G11" i="2"/>
  <c r="G10" i="2"/>
  <c r="G8" i="2"/>
  <c r="G7" i="2"/>
  <c r="H7" i="2" s="1"/>
  <c r="F11" i="2"/>
  <c r="F10" i="2"/>
  <c r="F8" i="2"/>
  <c r="F7" i="2"/>
  <c r="G5" i="2"/>
  <c r="G4" i="2"/>
  <c r="F5" i="2"/>
  <c r="F4" i="2"/>
  <c r="E11" i="2"/>
  <c r="E10" i="2"/>
  <c r="E8" i="2"/>
  <c r="E7" i="2"/>
  <c r="E5" i="2"/>
  <c r="E4" i="2"/>
  <c r="D11" i="2"/>
  <c r="D8" i="2"/>
  <c r="D7" i="2"/>
  <c r="D5" i="2"/>
  <c r="D4" i="2"/>
  <c r="H5" i="2"/>
  <c r="K40" i="1"/>
  <c r="J40" i="1"/>
  <c r="I40" i="1"/>
  <c r="H40" i="1"/>
  <c r="G40" i="1"/>
  <c r="F40" i="1"/>
  <c r="E40" i="1"/>
  <c r="K39" i="1"/>
  <c r="K42" i="1" s="1"/>
  <c r="J39" i="1"/>
  <c r="J42" i="1" s="1"/>
  <c r="I39" i="1"/>
  <c r="I42" i="1" s="1"/>
  <c r="H39" i="1"/>
  <c r="H42" i="1" s="1"/>
  <c r="G39" i="1"/>
  <c r="G42" i="1" s="1"/>
  <c r="F39" i="1"/>
  <c r="F42" i="1" s="1"/>
  <c r="E39" i="1"/>
  <c r="E42" i="1" s="1"/>
  <c r="D42" i="1"/>
  <c r="D10" i="2" s="1"/>
  <c r="K27" i="1"/>
  <c r="J27" i="1"/>
  <c r="I27" i="1"/>
  <c r="H27" i="1"/>
  <c r="G27" i="1"/>
  <c r="F27" i="1"/>
  <c r="E27" i="1"/>
  <c r="D27" i="1"/>
  <c r="K26" i="1"/>
  <c r="K29" i="1" s="1"/>
  <c r="J26" i="1"/>
  <c r="J29" i="1" s="1"/>
  <c r="I26" i="1"/>
  <c r="I29" i="1" s="1"/>
  <c r="H26" i="1"/>
  <c r="H29" i="1" s="1"/>
  <c r="G26" i="1"/>
  <c r="G29" i="1" s="1"/>
  <c r="F26" i="1"/>
  <c r="F29" i="1" s="1"/>
  <c r="E26" i="1"/>
  <c r="E29" i="1" s="1"/>
  <c r="D26" i="1"/>
  <c r="D29" i="1" s="1"/>
  <c r="K14" i="1"/>
  <c r="J14" i="1"/>
  <c r="I14" i="1"/>
  <c r="H14" i="1"/>
  <c r="G14" i="1"/>
  <c r="F14" i="1"/>
  <c r="E14" i="1"/>
  <c r="D14" i="1"/>
  <c r="K13" i="1"/>
  <c r="K16" i="1" s="1"/>
  <c r="J13" i="1"/>
  <c r="J16" i="1" s="1"/>
  <c r="I13" i="1"/>
  <c r="I16" i="1" s="1"/>
  <c r="H13" i="1"/>
  <c r="H16" i="1" s="1"/>
  <c r="G13" i="1"/>
  <c r="G16" i="1" s="1"/>
  <c r="F13" i="1"/>
  <c r="F16" i="1" s="1"/>
  <c r="E13" i="1"/>
  <c r="E16" i="1" s="1"/>
  <c r="D13" i="1"/>
  <c r="D16" i="1" s="1"/>
  <c r="H10" i="2" l="1"/>
  <c r="H4" i="2"/>
  <c r="H15" i="2"/>
  <c r="H8" i="2"/>
  <c r="H16" i="2" s="1"/>
</calcChain>
</file>

<file path=xl/sharedStrings.xml><?xml version="1.0" encoding="utf-8"?>
<sst xmlns="http://schemas.openxmlformats.org/spreadsheetml/2006/main" count="354" uniqueCount="90">
  <si>
    <t>Resultater Delstudie 1 – Origami | Rådata (J = Ja/korrekt, N = Nei/feil)</t>
  </si>
  <si>
    <t>J = Ja, korrekt</t>
  </si>
  <si>
    <t>N = Nei, feil</t>
  </si>
  <si>
    <t>Modell 1 Zero-shot</t>
  </si>
  <si>
    <t>Modell 2 Few-shot</t>
  </si>
  <si>
    <t>Paragraf</t>
  </si>
  <si>
    <t>Prompt nr.</t>
  </si>
  <si>
    <t>Paragraf navn</t>
  </si>
  <si>
    <t>kjøring 1</t>
  </si>
  <si>
    <t>kjøring 2</t>
  </si>
  <si>
    <t>kjøring 3</t>
  </si>
  <si>
    <t>kjøring 4</t>
  </si>
  <si>
    <t>── Case 1 ──</t>
  </si>
  <si>
    <t>§11-2</t>
  </si>
  <si>
    <t>1</t>
  </si>
  <si>
    <t>Risikoklasse</t>
  </si>
  <si>
    <t>J</t>
  </si>
  <si>
    <t>§11-3</t>
  </si>
  <si>
    <t>2</t>
  </si>
  <si>
    <t>Brannklasse</t>
  </si>
  <si>
    <t>N</t>
  </si>
  <si>
    <t>§11-4</t>
  </si>
  <si>
    <t>3</t>
  </si>
  <si>
    <t>Bærende Hovedsystem</t>
  </si>
  <si>
    <t>4</t>
  </si>
  <si>
    <t>Sekundære bærende bygningsdeler, etasjeskillere og takkonstruksjoner som ikke er del av hovedbæresystem eller stabiliserende</t>
  </si>
  <si>
    <t>5</t>
  </si>
  <si>
    <t>Trappeløp</t>
  </si>
  <si>
    <t>6</t>
  </si>
  <si>
    <t>Bærende bygningsdeler under øverste kjeller</t>
  </si>
  <si>
    <t>7</t>
  </si>
  <si>
    <t>Utvendig trappeløp, beskyttet mot flammepåvirkning og strålevarme</t>
  </si>
  <si>
    <t>Summer J (korrekt)</t>
  </si>
  <si>
    <t>Summer N (feil)</t>
  </si>
  <si>
    <t>Totalt felt (ekskl. begr.)</t>
  </si>
  <si>
    <t>Precision %</t>
  </si>
  <si>
    <t>── Case 2 ──</t>
  </si>
  <si>
    <t>── Case 3 ──</t>
  </si>
  <si>
    <t>Analyse – Delstudie 1: Origami | Precision per case og modell</t>
  </si>
  <si>
    <t>Tabell A – Precision per kjøring, per case og modell</t>
  </si>
  <si>
    <t>Case</t>
  </si>
  <si>
    <t>Modell</t>
  </si>
  <si>
    <t>Kjøring 1</t>
  </si>
  <si>
    <t>Kjøring 2</t>
  </si>
  <si>
    <t>Kjøring 3</t>
  </si>
  <si>
    <t>Kjøring 4</t>
  </si>
  <si>
    <t>Gj.snitt Precision</t>
  </si>
  <si>
    <t>Sum J (alle kjør.)</t>
  </si>
  <si>
    <t>Sum N (alle kjør.)</t>
  </si>
  <si>
    <t>Eval. felt totalt</t>
  </si>
  <si>
    <t>Case 1 – Barnehage</t>
  </si>
  <si>
    <t>M1 – Zero-shot</t>
  </si>
  <si>
    <t>M2 – Few-shot</t>
  </si>
  <si>
    <t>Case 2 – Sykehus</t>
  </si>
  <si>
    <t>Case 3 – Hudklinikk</t>
  </si>
  <si>
    <t>Samlet gjennomsnitt per modell – alle caser og kjøringer</t>
  </si>
  <si>
    <t>Tabell B – Feltvis analyse: andel korrekte svar per felt over 4 kjøringer (maks = 4)</t>
  </si>
  <si>
    <t>Felt / kravkategori</t>
  </si>
  <si>
    <t>C1
M1 ZS</t>
  </si>
  <si>
    <t>C1
M2 FS</t>
  </si>
  <si>
    <t>C2
M1 ZS</t>
  </si>
  <si>
    <t>C2
M2 FS</t>
  </si>
  <si>
    <t>C3
M1 ZS</t>
  </si>
  <si>
    <t>C3
M2 FS</t>
  </si>
  <si>
    <t>Risikoklasse (§ 11-2)</t>
  </si>
  <si>
    <t>Brannklasse (§ 11-3)</t>
  </si>
  <si>
    <t>Bærende Hovedsystem (§ 11-4)</t>
  </si>
  <si>
    <t>Sekundære bærende bygningsdeler, etasjeskillere og takkonstruksjoner (§ 11-4)</t>
  </si>
  <si>
    <t>Trappeløp (§ 11-4)</t>
  </si>
  <si>
    <t>Bærende bygningsdeler under øverste kjeller (§ 11-4)</t>
  </si>
  <si>
    <t>Utvendig trappeløp, beskyttet mot flammepåvirkning og strålevarme (§ 11-4)</t>
  </si>
  <si>
    <t>Notat – Observerte feiltyper i M1 (Zero-shot) for §11-4-feltene</t>
  </si>
  <si>
    <t>1. Feil verdi: modellen returnerte feil brannmotstandsklasse, f.eks. R 120 A2-s1,d0 i stedet for R 60 A2-s1,d0</t>
  </si>
  <si>
    <t>2. Delvis svar: riktig R-verdi men manglende materialklassifikasjon, f.eks. «R 60» i stedet for «R 60 A2-s1,d0»</t>
  </si>
  <si>
    <t>3. Strek / ingen verdi: modellen returnerte «–» uten begrunnelse</t>
  </si>
  <si>
    <t>4. Utilstrekkelig informasjon: modellen meldte at inndata ikke var tilstrekkelig, men uten å angi hva som manglet</t>
  </si>
  <si>
    <t>→ Samtlige feiltyper er Type 1-hallusinasjoner: modellen presenterer feil eller ufullstendig output uten varsling til bruker</t>
  </si>
  <si>
    <t>Instruksjoner for utfylling</t>
  </si>
  <si>
    <t>1. Gå til fanen «Rådata»</t>
  </si>
  <si>
    <t>2. Fyll inn J (korrekt) eller N (feil) i de gule inputcellene for hver kjøring</t>
  </si>
  <si>
    <t>4. Precision % beregnes automatisk per kjøring og modell basert på COUNTIF-formler</t>
  </si>
  <si>
    <t>5. Gå til fanen «Analyse og resultater» for å se gjennomsnittlig Precision per case, modell og samlet</t>
  </si>
  <si>
    <t>Feltstruktur per case (13 felt totalt, 12 evaluerbare):</t>
  </si>
  <si>
    <t>§11-2: Risikoklasse (prompt 1)</t>
  </si>
  <si>
    <t>§11-3: Brannklasse (prompt 2)</t>
  </si>
  <si>
    <t>§11-4: Bærende Hovedsystem (prompt 3)</t>
  </si>
  <si>
    <t>§11-4: Sekundære bærende bygningsdeler mv. (prompt 4)</t>
  </si>
  <si>
    <t>§11-4: Trappeløp (prompt 5)</t>
  </si>
  <si>
    <t>§11-4: Bærende bygningsdeler under øverste kjeller (prompt 6)</t>
  </si>
  <si>
    <t>§11-4: Utvendig trappeløp, beskyttet mot flammepåvirkning og strålevarme (prompt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</si>
</sst>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030A0"/>
      <name val="Arial"/>
      <charset val="1"/>
    </font>
    <font>
      <b/>
      <sz val="10"/>
      <color rgb="FFFFFFFF"/>
      <name val="Arial"/>
      <charset val="1"/>
    </font>
    <font>
      <b/>
      <sz val="11"/>
      <color theme="1"/>
      <name val="Calibri"/>
      <family val="2"/>
      <charset val="1"/>
    </font>
    <font>
      <b/>
      <sz val="9"/>
      <color rgb="FF1F3864"/>
      <name val="Arial"/>
      <charset val="1"/>
    </font>
    <font>
      <b/>
      <sz val="9"/>
      <color rgb="FF7F2E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family val="2"/>
      <charset val="1"/>
    </font>
    <font>
      <b/>
      <sz val="10"/>
      <color rgb="FF375623"/>
      <name val="Arial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7F2E00"/>
      <name val="Arial"/>
      <charset val="1"/>
    </font>
    <font>
      <b/>
      <sz val="10"/>
      <color rgb="FF9C0006"/>
      <name val="Arial"/>
      <charset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Calibri"/>
      <family val="2"/>
      <charset val="1"/>
    </font>
    <font>
      <b/>
      <sz val="12"/>
      <name val="Arial"/>
      <family val="2"/>
    </font>
    <font>
      <b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DE8D8"/>
      </patternFill>
    </fill>
    <fill>
      <patternFill patternType="solid">
        <fgColor rgb="FF2E75B6"/>
        <bgColor rgb="FF0066CC"/>
      </patternFill>
    </fill>
    <fill>
      <patternFill patternType="solid">
        <fgColor rgb="FFC55A11"/>
        <bgColor rgb="FF7F6000"/>
      </patternFill>
    </fill>
    <fill>
      <patternFill patternType="solid">
        <fgColor theme="0" tint="-4.9989318521683403E-2"/>
        <bgColor rgb="FFEAF4FB"/>
      </patternFill>
    </fill>
    <fill>
      <patternFill patternType="solid">
        <fgColor rgb="FFD6E4F0"/>
        <bgColor rgb="FFC6EFCE"/>
      </patternFill>
    </fill>
    <fill>
      <patternFill patternType="solid">
        <fgColor rgb="FFFDE8D8"/>
        <bgColor rgb="FFF2F2F2"/>
      </patternFill>
    </fill>
    <fill>
      <patternFill patternType="solid">
        <fgColor rgb="FFEAF4FB"/>
        <bgColor rgb="FFF2F2F2"/>
      </patternFill>
    </fill>
    <fill>
      <patternFill patternType="solid">
        <fgColor rgb="FFFFE699"/>
        <bgColor rgb="FFFDE8D8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2F2F2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auto="1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auto="1"/>
      </right>
      <top/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2" fillId="10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164" fontId="10" fillId="11" borderId="5" xfId="0" applyNumberFormat="1" applyFont="1" applyFill="1" applyBorder="1" applyAlignment="1">
      <alignment horizontal="center" vertical="center" wrapText="1"/>
    </xf>
    <xf numFmtId="164" fontId="10" fillId="11" borderId="6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0" fillId="2" borderId="6" xfId="0" applyFill="1" applyBorder="1"/>
    <xf numFmtId="0" fontId="8" fillId="13" borderId="6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8" fillId="13" borderId="6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0" fillId="13" borderId="6" xfId="0" applyFill="1" applyBorder="1"/>
    <xf numFmtId="0" fontId="0" fillId="4" borderId="6" xfId="0" applyFill="1" applyBorder="1"/>
    <xf numFmtId="0" fontId="4" fillId="2" borderId="6" xfId="0" applyFont="1" applyFill="1" applyBorder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 wrapText="1"/>
    </xf>
    <xf numFmtId="0" fontId="2" fillId="12" borderId="6" xfId="0" applyFont="1" applyFill="1" applyBorder="1" applyAlignment="1">
      <alignment horizontal="left" vertical="center" wrapText="1"/>
    </xf>
    <xf numFmtId="0" fontId="15" fillId="11" borderId="6" xfId="0" applyFont="1" applyFill="1" applyBorder="1" applyAlignment="1">
      <alignment horizontal="center" vertical="center" wrapText="1"/>
    </xf>
    <xf numFmtId="164" fontId="16" fillId="11" borderId="6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7" fillId="2" borderId="6" xfId="0" applyFont="1" applyFill="1" applyBorder="1"/>
    <xf numFmtId="164" fontId="18" fillId="11" borderId="6" xfId="0" applyNumberFormat="1" applyFont="1" applyFill="1" applyBorder="1" applyAlignment="1">
      <alignment horizontal="center" vertical="center" wrapText="1"/>
    </xf>
    <xf numFmtId="164" fontId="15" fillId="8" borderId="6" xfId="0" applyNumberFormat="1" applyFont="1" applyFill="1" applyBorder="1" applyAlignment="1">
      <alignment horizontal="center" vertical="center" wrapText="1"/>
    </xf>
    <xf numFmtId="164" fontId="15" fillId="9" borderId="6" xfId="0" applyNumberFormat="1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2F2F2"/>
      <rgbColor rgb="FFEAF4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699"/>
      <rgbColor rgb="FFFDE8D8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F2E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3E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HRE\Downloads\Resultater_DS1_final.xlsx" TargetMode="External"/><Relationship Id="rId1" Type="http://schemas.openxmlformats.org/officeDocument/2006/relationships/externalLinkPath" Target="file:///C:\Users\AHRE\Downloads\Resultater_DS1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ådata"/>
      <sheetName val="Analyse og resultater"/>
      <sheetName val="Instruksjoner"/>
    </sheetNames>
    <sheetDataSet>
      <sheetData sheetId="0">
        <row r="6">
          <cell r="D6" t="str">
            <v>J</v>
          </cell>
          <cell r="E6" t="str">
            <v>J</v>
          </cell>
          <cell r="F6" t="str">
            <v>J</v>
          </cell>
          <cell r="G6" t="str">
            <v>J</v>
          </cell>
          <cell r="H6" t="str">
            <v>J</v>
          </cell>
          <cell r="I6" t="str">
            <v>J</v>
          </cell>
          <cell r="J6" t="str">
            <v>J</v>
          </cell>
          <cell r="K6" t="str">
            <v>J</v>
          </cell>
        </row>
        <row r="7">
          <cell r="D7" t="str">
            <v>J</v>
          </cell>
          <cell r="E7" t="str">
            <v>J</v>
          </cell>
          <cell r="F7" t="str">
            <v>J</v>
          </cell>
          <cell r="G7" t="str">
            <v>N</v>
          </cell>
          <cell r="H7" t="str">
            <v>J</v>
          </cell>
          <cell r="I7" t="str">
            <v>J</v>
          </cell>
          <cell r="J7" t="str">
            <v>J</v>
          </cell>
          <cell r="K7" t="str">
            <v>J</v>
          </cell>
        </row>
        <row r="8">
          <cell r="D8" t="str">
            <v>N</v>
          </cell>
          <cell r="E8" t="str">
            <v>N</v>
          </cell>
          <cell r="F8" t="str">
            <v>N</v>
          </cell>
          <cell r="G8" t="str">
            <v>N</v>
          </cell>
          <cell r="H8" t="str">
            <v>J</v>
          </cell>
          <cell r="I8" t="str">
            <v>J</v>
          </cell>
          <cell r="J8" t="str">
            <v>J</v>
          </cell>
          <cell r="K8" t="str">
            <v>N</v>
          </cell>
        </row>
        <row r="9">
          <cell r="D9" t="str">
            <v>N</v>
          </cell>
          <cell r="E9" t="str">
            <v>N</v>
          </cell>
          <cell r="F9" t="str">
            <v>N</v>
          </cell>
          <cell r="G9" t="str">
            <v>N</v>
          </cell>
          <cell r="H9" t="str">
            <v>J</v>
          </cell>
          <cell r="I9" t="str">
            <v>N</v>
          </cell>
          <cell r="J9" t="str">
            <v>J</v>
          </cell>
          <cell r="K9" t="str">
            <v>J</v>
          </cell>
        </row>
        <row r="10">
          <cell r="D10" t="str">
            <v>J</v>
          </cell>
          <cell r="E10" t="str">
            <v>N</v>
          </cell>
          <cell r="F10" t="str">
            <v>N</v>
          </cell>
          <cell r="G10" t="str">
            <v>J</v>
          </cell>
          <cell r="H10" t="str">
            <v>N</v>
          </cell>
          <cell r="I10" t="str">
            <v>J</v>
          </cell>
          <cell r="J10" t="str">
            <v>J</v>
          </cell>
          <cell r="K10" t="str">
            <v>J</v>
          </cell>
        </row>
        <row r="11">
          <cell r="D11" t="str">
            <v>N</v>
          </cell>
          <cell r="E11" t="str">
            <v>N</v>
          </cell>
          <cell r="F11" t="str">
            <v>N</v>
          </cell>
          <cell r="G11" t="str">
            <v>N</v>
          </cell>
          <cell r="H11" t="str">
            <v>J</v>
          </cell>
          <cell r="I11" t="str">
            <v>N</v>
          </cell>
          <cell r="J11" t="str">
            <v>J</v>
          </cell>
          <cell r="K11" t="str">
            <v>N</v>
          </cell>
        </row>
        <row r="12">
          <cell r="D12" t="str">
            <v>J</v>
          </cell>
          <cell r="E12" t="str">
            <v>J</v>
          </cell>
          <cell r="F12" t="str">
            <v>J</v>
          </cell>
          <cell r="G12" t="str">
            <v>J</v>
          </cell>
          <cell r="H12" t="str">
            <v>J</v>
          </cell>
          <cell r="I12" t="str">
            <v>J</v>
          </cell>
          <cell r="J12" t="str">
            <v>J</v>
          </cell>
          <cell r="K12" t="str">
            <v>J</v>
          </cell>
        </row>
        <row r="19">
          <cell r="D19" t="str">
            <v>N</v>
          </cell>
          <cell r="E19" t="str">
            <v>N</v>
          </cell>
          <cell r="F19" t="str">
            <v>N</v>
          </cell>
          <cell r="G19" t="str">
            <v>N</v>
          </cell>
          <cell r="H19" t="str">
            <v>J</v>
          </cell>
          <cell r="I19" t="str">
            <v>J</v>
          </cell>
          <cell r="J19" t="str">
            <v>J</v>
          </cell>
          <cell r="K19" t="str">
            <v>J</v>
          </cell>
        </row>
        <row r="20">
          <cell r="D20" t="str">
            <v>J</v>
          </cell>
          <cell r="E20" t="str">
            <v>J</v>
          </cell>
          <cell r="F20" t="str">
            <v>J</v>
          </cell>
          <cell r="G20" t="str">
            <v>J</v>
          </cell>
          <cell r="H20" t="str">
            <v>J</v>
          </cell>
          <cell r="I20" t="str">
            <v>J</v>
          </cell>
          <cell r="J20" t="str">
            <v>J</v>
          </cell>
          <cell r="K20" t="str">
            <v>J</v>
          </cell>
        </row>
        <row r="21">
          <cell r="D21" t="str">
            <v>N</v>
          </cell>
          <cell r="E21" t="str">
            <v>N</v>
          </cell>
          <cell r="F21" t="str">
            <v>N</v>
          </cell>
          <cell r="G21" t="str">
            <v>N</v>
          </cell>
          <cell r="H21" t="str">
            <v>J</v>
          </cell>
          <cell r="I21" t="str">
            <v>J</v>
          </cell>
          <cell r="J21" t="str">
            <v>J</v>
          </cell>
          <cell r="K21" t="str">
            <v>J</v>
          </cell>
        </row>
        <row r="22">
          <cell r="D22" t="str">
            <v>N</v>
          </cell>
          <cell r="E22" t="str">
            <v>J</v>
          </cell>
          <cell r="F22" t="str">
            <v>N</v>
          </cell>
          <cell r="G22" t="str">
            <v>N</v>
          </cell>
          <cell r="H22" t="str">
            <v>J</v>
          </cell>
          <cell r="I22" t="str">
            <v>J</v>
          </cell>
          <cell r="J22" t="str">
            <v>J</v>
          </cell>
          <cell r="K22" t="str">
            <v>J</v>
          </cell>
        </row>
        <row r="23">
          <cell r="D23" t="str">
            <v>N</v>
          </cell>
          <cell r="E23" t="str">
            <v>N</v>
          </cell>
          <cell r="F23" t="str">
            <v>N</v>
          </cell>
          <cell r="G23" t="str">
            <v>N</v>
          </cell>
          <cell r="H23" t="str">
            <v>J</v>
          </cell>
          <cell r="I23" t="str">
            <v>J</v>
          </cell>
          <cell r="J23" t="str">
            <v>J</v>
          </cell>
          <cell r="K23" t="str">
            <v>J</v>
          </cell>
        </row>
        <row r="24">
          <cell r="D24" t="str">
            <v>J</v>
          </cell>
          <cell r="E24" t="str">
            <v>N</v>
          </cell>
          <cell r="F24" t="str">
            <v>N</v>
          </cell>
          <cell r="G24" t="str">
            <v>J</v>
          </cell>
          <cell r="H24" t="str">
            <v>J</v>
          </cell>
          <cell r="I24" t="str">
            <v>J</v>
          </cell>
          <cell r="J24" t="str">
            <v>J</v>
          </cell>
          <cell r="K24" t="str">
            <v>J</v>
          </cell>
        </row>
        <row r="25">
          <cell r="D25" t="str">
            <v>J</v>
          </cell>
          <cell r="E25" t="str">
            <v>J</v>
          </cell>
          <cell r="F25" t="str">
            <v>J</v>
          </cell>
          <cell r="G25" t="str">
            <v>J</v>
          </cell>
          <cell r="H25" t="str">
            <v>J</v>
          </cell>
          <cell r="I25" t="str">
            <v>J</v>
          </cell>
          <cell r="J25" t="str">
            <v>J</v>
          </cell>
          <cell r="K25" t="str">
            <v>J</v>
          </cell>
        </row>
        <row r="32">
          <cell r="D32" t="str">
            <v>N</v>
          </cell>
          <cell r="E32" t="str">
            <v>N</v>
          </cell>
          <cell r="F32" t="str">
            <v>J</v>
          </cell>
          <cell r="G32" t="str">
            <v>N</v>
          </cell>
          <cell r="H32" t="str">
            <v>J</v>
          </cell>
          <cell r="I32" t="str">
            <v>J</v>
          </cell>
          <cell r="J32" t="str">
            <v>J</v>
          </cell>
          <cell r="K32" t="str">
            <v>J</v>
          </cell>
        </row>
        <row r="33">
          <cell r="D33" t="str">
            <v>N</v>
          </cell>
          <cell r="E33" t="str">
            <v>J</v>
          </cell>
          <cell r="F33" t="str">
            <v>J</v>
          </cell>
          <cell r="G33" t="str">
            <v>J</v>
          </cell>
          <cell r="H33" t="str">
            <v>J</v>
          </cell>
          <cell r="I33" t="str">
            <v>J</v>
          </cell>
          <cell r="J33" t="str">
            <v>J</v>
          </cell>
          <cell r="K33" t="str">
            <v>J</v>
          </cell>
        </row>
        <row r="34">
          <cell r="D34" t="str">
            <v>N</v>
          </cell>
          <cell r="E34" t="str">
            <v>N</v>
          </cell>
          <cell r="F34" t="str">
            <v>N</v>
          </cell>
          <cell r="G34" t="str">
            <v>N</v>
          </cell>
          <cell r="H34" t="str">
            <v>J</v>
          </cell>
          <cell r="I34" t="str">
            <v>N</v>
          </cell>
          <cell r="J34" t="str">
            <v>J</v>
          </cell>
          <cell r="K34" t="str">
            <v>N</v>
          </cell>
        </row>
        <row r="35">
          <cell r="D35" t="str">
            <v>N</v>
          </cell>
          <cell r="E35" t="str">
            <v>N</v>
          </cell>
          <cell r="F35" t="str">
            <v>N</v>
          </cell>
          <cell r="G35" t="str">
            <v>N</v>
          </cell>
          <cell r="H35" t="str">
            <v>J</v>
          </cell>
          <cell r="I35" t="str">
            <v>J</v>
          </cell>
          <cell r="J35" t="str">
            <v>J</v>
          </cell>
          <cell r="K35" t="str">
            <v>J</v>
          </cell>
        </row>
        <row r="36">
          <cell r="D36" t="str">
            <v>N</v>
          </cell>
          <cell r="E36" t="str">
            <v>N</v>
          </cell>
          <cell r="F36" t="str">
            <v>N</v>
          </cell>
          <cell r="G36" t="str">
            <v>N</v>
          </cell>
          <cell r="H36" t="str">
            <v>J</v>
          </cell>
          <cell r="I36" t="str">
            <v>J</v>
          </cell>
          <cell r="J36" t="str">
            <v>J</v>
          </cell>
          <cell r="K36" t="str">
            <v>J</v>
          </cell>
        </row>
        <row r="37">
          <cell r="D37" t="str">
            <v>N</v>
          </cell>
          <cell r="E37" t="str">
            <v>N</v>
          </cell>
          <cell r="F37" t="str">
            <v>N</v>
          </cell>
          <cell r="G37" t="str">
            <v>N</v>
          </cell>
          <cell r="H37" t="str">
            <v>J</v>
          </cell>
          <cell r="I37" t="str">
            <v>J</v>
          </cell>
          <cell r="J37" t="str">
            <v>J</v>
          </cell>
          <cell r="K37" t="str">
            <v>N</v>
          </cell>
        </row>
        <row r="38">
          <cell r="D38" t="str">
            <v>N</v>
          </cell>
          <cell r="E38" t="str">
            <v>J</v>
          </cell>
          <cell r="F38" t="str">
            <v>J</v>
          </cell>
          <cell r="G38" t="str">
            <v>J</v>
          </cell>
          <cell r="H38" t="str">
            <v>J</v>
          </cell>
          <cell r="I38" t="str">
            <v>J</v>
          </cell>
          <cell r="J38" t="str">
            <v>J</v>
          </cell>
          <cell r="K38" t="str">
            <v>J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tabSelected="1" zoomScaleNormal="100" workbookViewId="0">
      <pane xSplit="3" ySplit="4" topLeftCell="D13" activePane="bottomRight" state="frozen"/>
      <selection pane="topRight" activeCell="D1" sqref="D1"/>
      <selection pane="bottomLeft" activeCell="A19" sqref="A19"/>
      <selection pane="bottomRight" activeCell="D38" sqref="D38"/>
    </sheetView>
  </sheetViews>
  <sheetFormatPr baseColWidth="10" defaultColWidth="8.7109375" defaultRowHeight="15" x14ac:dyDescent="0.25"/>
  <cols>
    <col min="1" max="1" width="10" customWidth="1"/>
    <col min="2" max="2" width="11.7109375" customWidth="1"/>
    <col min="3" max="3" width="42" style="1" customWidth="1"/>
    <col min="4" max="11" width="10" customWidth="1"/>
  </cols>
  <sheetData>
    <row r="1" spans="1:26" ht="27.75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25">
      <c r="A2" s="65" t="s">
        <v>1</v>
      </c>
      <c r="B2" s="65"/>
      <c r="C2" s="3" t="s">
        <v>2</v>
      </c>
      <c r="I2" s="4"/>
      <c r="J2" s="4"/>
      <c r="K2" s="4"/>
      <c r="L2" s="4"/>
      <c r="M2" s="4"/>
      <c r="N2" s="4"/>
      <c r="O2" s="4"/>
      <c r="P2" s="4"/>
    </row>
    <row r="3" spans="1:26" ht="21.75" customHeight="1" x14ac:dyDescent="0.25">
      <c r="A3" s="5"/>
      <c r="B3" s="5"/>
      <c r="C3" s="6"/>
      <c r="D3" s="66" t="s">
        <v>3</v>
      </c>
      <c r="E3" s="66"/>
      <c r="F3" s="66"/>
      <c r="G3" s="66"/>
      <c r="H3" s="67" t="s">
        <v>4</v>
      </c>
      <c r="I3" s="67"/>
      <c r="J3" s="67"/>
      <c r="K3" s="67"/>
    </row>
    <row r="4" spans="1:26" ht="19.5" customHeight="1" x14ac:dyDescent="0.25">
      <c r="A4" s="7" t="s">
        <v>5</v>
      </c>
      <c r="B4" s="7" t="s">
        <v>6</v>
      </c>
      <c r="C4" s="8" t="s">
        <v>7</v>
      </c>
      <c r="D4" s="9" t="s">
        <v>8</v>
      </c>
      <c r="E4" s="10" t="s">
        <v>9</v>
      </c>
      <c r="F4" s="10" t="s">
        <v>10</v>
      </c>
      <c r="G4" s="10" t="s">
        <v>11</v>
      </c>
      <c r="H4" s="11" t="s">
        <v>8</v>
      </c>
      <c r="I4" s="11" t="s">
        <v>9</v>
      </c>
      <c r="J4" s="11" t="s">
        <v>10</v>
      </c>
      <c r="K4" s="11" t="s">
        <v>11</v>
      </c>
    </row>
    <row r="5" spans="1:26" s="12" customFormat="1" ht="15" customHeight="1" x14ac:dyDescent="0.25">
      <c r="A5" s="68" t="s">
        <v>12</v>
      </c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26" x14ac:dyDescent="0.25">
      <c r="A6" s="13" t="s">
        <v>13</v>
      </c>
      <c r="B6" s="14" t="s">
        <v>14</v>
      </c>
      <c r="C6" s="15" t="s">
        <v>15</v>
      </c>
      <c r="D6" s="16" t="s">
        <v>16</v>
      </c>
      <c r="E6" s="17" t="s">
        <v>16</v>
      </c>
      <c r="F6" s="17" t="s">
        <v>16</v>
      </c>
      <c r="G6" s="17" t="s">
        <v>16</v>
      </c>
      <c r="H6" s="18" t="s">
        <v>16</v>
      </c>
      <c r="I6" s="18" t="s">
        <v>16</v>
      </c>
      <c r="J6" s="18" t="s">
        <v>16</v>
      </c>
      <c r="K6" s="18" t="s">
        <v>16</v>
      </c>
    </row>
    <row r="7" spans="1:26" x14ac:dyDescent="0.25">
      <c r="A7" s="19" t="s">
        <v>17</v>
      </c>
      <c r="B7" s="20" t="s">
        <v>18</v>
      </c>
      <c r="C7" s="21" t="s">
        <v>19</v>
      </c>
      <c r="D7" s="22" t="s">
        <v>16</v>
      </c>
      <c r="E7" s="23" t="s">
        <v>16</v>
      </c>
      <c r="F7" s="23" t="s">
        <v>16</v>
      </c>
      <c r="G7" s="23" t="s">
        <v>20</v>
      </c>
      <c r="H7" s="24" t="s">
        <v>16</v>
      </c>
      <c r="I7" s="24" t="s">
        <v>16</v>
      </c>
      <c r="J7" s="24" t="s">
        <v>16</v>
      </c>
      <c r="K7" s="24" t="s">
        <v>16</v>
      </c>
    </row>
    <row r="8" spans="1:26" x14ac:dyDescent="0.25">
      <c r="A8" s="19" t="s">
        <v>21</v>
      </c>
      <c r="B8" s="20" t="s">
        <v>22</v>
      </c>
      <c r="C8" s="21" t="s">
        <v>23</v>
      </c>
      <c r="D8" s="22" t="s">
        <v>20</v>
      </c>
      <c r="E8" s="23" t="s">
        <v>20</v>
      </c>
      <c r="F8" s="23" t="s">
        <v>20</v>
      </c>
      <c r="G8" s="23" t="s">
        <v>20</v>
      </c>
      <c r="H8" s="24" t="s">
        <v>16</v>
      </c>
      <c r="I8" s="24" t="s">
        <v>16</v>
      </c>
      <c r="J8" s="24" t="s">
        <v>16</v>
      </c>
      <c r="K8" s="24" t="s">
        <v>20</v>
      </c>
    </row>
    <row r="9" spans="1:26" ht="38.25" customHeight="1" x14ac:dyDescent="0.25">
      <c r="A9" s="19" t="s">
        <v>21</v>
      </c>
      <c r="B9" s="20" t="s">
        <v>24</v>
      </c>
      <c r="C9" s="21" t="s">
        <v>25</v>
      </c>
      <c r="D9" s="22" t="s">
        <v>20</v>
      </c>
      <c r="E9" s="23" t="s">
        <v>20</v>
      </c>
      <c r="F9" s="23" t="s">
        <v>20</v>
      </c>
      <c r="G9" s="23" t="s">
        <v>20</v>
      </c>
      <c r="H9" s="24" t="s">
        <v>16</v>
      </c>
      <c r="I9" s="24" t="s">
        <v>20</v>
      </c>
      <c r="J9" s="24" t="s">
        <v>16</v>
      </c>
      <c r="K9" s="24" t="s">
        <v>16</v>
      </c>
    </row>
    <row r="10" spans="1:26" x14ac:dyDescent="0.25">
      <c r="A10" s="19" t="s">
        <v>21</v>
      </c>
      <c r="B10" s="20" t="s">
        <v>26</v>
      </c>
      <c r="C10" s="21" t="s">
        <v>27</v>
      </c>
      <c r="D10" s="22" t="s">
        <v>16</v>
      </c>
      <c r="E10" s="23" t="s">
        <v>20</v>
      </c>
      <c r="F10" s="23" t="s">
        <v>20</v>
      </c>
      <c r="G10" s="23" t="s">
        <v>16</v>
      </c>
      <c r="H10" s="24" t="s">
        <v>20</v>
      </c>
      <c r="I10" s="24" t="s">
        <v>16</v>
      </c>
      <c r="J10" s="24" t="s">
        <v>16</v>
      </c>
      <c r="K10" s="24" t="s">
        <v>16</v>
      </c>
    </row>
    <row r="11" spans="1:26" x14ac:dyDescent="0.25">
      <c r="A11" s="19" t="s">
        <v>21</v>
      </c>
      <c r="B11" s="20" t="s">
        <v>28</v>
      </c>
      <c r="C11" s="21" t="s">
        <v>29</v>
      </c>
      <c r="D11" s="22" t="s">
        <v>20</v>
      </c>
      <c r="E11" s="23" t="s">
        <v>20</v>
      </c>
      <c r="F11" s="23" t="s">
        <v>20</v>
      </c>
      <c r="G11" s="23" t="s">
        <v>20</v>
      </c>
      <c r="H11" s="24" t="s">
        <v>16</v>
      </c>
      <c r="I11" s="24" t="s">
        <v>20</v>
      </c>
      <c r="J11" s="24" t="s">
        <v>16</v>
      </c>
      <c r="K11" s="24" t="s">
        <v>20</v>
      </c>
    </row>
    <row r="12" spans="1:26" ht="25.5" customHeight="1" x14ac:dyDescent="0.25">
      <c r="A12" s="19" t="s">
        <v>21</v>
      </c>
      <c r="B12" s="20" t="s">
        <v>30</v>
      </c>
      <c r="C12" s="21" t="s">
        <v>31</v>
      </c>
      <c r="D12" s="25" t="s">
        <v>16</v>
      </c>
      <c r="E12" s="23" t="s">
        <v>16</v>
      </c>
      <c r="F12" s="23" t="s">
        <v>16</v>
      </c>
      <c r="G12" s="23" t="s">
        <v>16</v>
      </c>
      <c r="H12" s="24" t="s">
        <v>16</v>
      </c>
      <c r="I12" s="24" t="s">
        <v>16</v>
      </c>
      <c r="J12" s="24" t="s">
        <v>16</v>
      </c>
      <c r="K12" s="24" t="s">
        <v>16</v>
      </c>
    </row>
    <row r="13" spans="1:26" ht="15" customHeight="1" x14ac:dyDescent="0.25">
      <c r="A13" s="69" t="s">
        <v>32</v>
      </c>
      <c r="B13" s="69"/>
      <c r="C13" s="69"/>
      <c r="D13" s="26">
        <f t="shared" ref="D13:K13" si="0">COUNTIF(D6:D12,"J")</f>
        <v>4</v>
      </c>
      <c r="E13" s="27">
        <f t="shared" si="0"/>
        <v>3</v>
      </c>
      <c r="F13" s="27">
        <f t="shared" si="0"/>
        <v>3</v>
      </c>
      <c r="G13" s="27">
        <f t="shared" si="0"/>
        <v>3</v>
      </c>
      <c r="H13" s="27">
        <f t="shared" si="0"/>
        <v>6</v>
      </c>
      <c r="I13" s="27">
        <f t="shared" si="0"/>
        <v>5</v>
      </c>
      <c r="J13" s="27">
        <f t="shared" si="0"/>
        <v>7</v>
      </c>
      <c r="K13" s="27">
        <f t="shared" si="0"/>
        <v>5</v>
      </c>
    </row>
    <row r="14" spans="1:26" ht="15" customHeight="1" x14ac:dyDescent="0.25">
      <c r="A14" s="70" t="s">
        <v>33</v>
      </c>
      <c r="B14" s="70"/>
      <c r="C14" s="70"/>
      <c r="D14" s="28">
        <f t="shared" ref="D14:K14" si="1">COUNTIF(D6:D12,"N")</f>
        <v>3</v>
      </c>
      <c r="E14" s="29">
        <f t="shared" si="1"/>
        <v>4</v>
      </c>
      <c r="F14" s="29">
        <f t="shared" si="1"/>
        <v>4</v>
      </c>
      <c r="G14" s="29">
        <f t="shared" si="1"/>
        <v>4</v>
      </c>
      <c r="H14" s="29">
        <f t="shared" si="1"/>
        <v>1</v>
      </c>
      <c r="I14" s="29">
        <f t="shared" si="1"/>
        <v>2</v>
      </c>
      <c r="J14" s="29">
        <f t="shared" si="1"/>
        <v>0</v>
      </c>
      <c r="K14" s="29">
        <f t="shared" si="1"/>
        <v>2</v>
      </c>
    </row>
    <row r="15" spans="1:26" ht="15" customHeight="1" x14ac:dyDescent="0.25">
      <c r="A15" s="71" t="s">
        <v>34</v>
      </c>
      <c r="B15" s="71"/>
      <c r="C15" s="71"/>
      <c r="D15" s="30">
        <v>7</v>
      </c>
      <c r="E15" s="31" t="s">
        <v>30</v>
      </c>
      <c r="F15" s="31" t="s">
        <v>30</v>
      </c>
      <c r="G15" s="31" t="s">
        <v>30</v>
      </c>
      <c r="H15" s="31" t="s">
        <v>30</v>
      </c>
      <c r="I15" s="31" t="s">
        <v>30</v>
      </c>
      <c r="J15" s="31" t="s">
        <v>30</v>
      </c>
      <c r="K15" s="31" t="s">
        <v>30</v>
      </c>
    </row>
    <row r="16" spans="1:26" ht="15" customHeight="1" x14ac:dyDescent="0.25">
      <c r="A16" s="71" t="s">
        <v>35</v>
      </c>
      <c r="B16" s="71"/>
      <c r="C16" s="71"/>
      <c r="D16" s="32">
        <f t="shared" ref="D16:K16" si="2">IFERROR(D13/D15,0)</f>
        <v>0.5714285714285714</v>
      </c>
      <c r="E16" s="33">
        <f t="shared" si="2"/>
        <v>0.42857142857142855</v>
      </c>
      <c r="F16" s="33">
        <f t="shared" si="2"/>
        <v>0.42857142857142855</v>
      </c>
      <c r="G16" s="33">
        <f t="shared" si="2"/>
        <v>0.42857142857142855</v>
      </c>
      <c r="H16" s="33">
        <f t="shared" si="2"/>
        <v>0.8571428571428571</v>
      </c>
      <c r="I16" s="33">
        <f t="shared" si="2"/>
        <v>0.7142857142857143</v>
      </c>
      <c r="J16" s="33">
        <f t="shared" si="2"/>
        <v>1</v>
      </c>
      <c r="K16" s="33">
        <f t="shared" si="2"/>
        <v>0.7142857142857143</v>
      </c>
    </row>
    <row r="18" spans="1:11" ht="15" customHeight="1" x14ac:dyDescent="0.25">
      <c r="A18" s="68" t="s">
        <v>36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19" spans="1:11" x14ac:dyDescent="0.25">
      <c r="A19" s="34" t="s">
        <v>13</v>
      </c>
      <c r="B19" s="35" t="s">
        <v>14</v>
      </c>
      <c r="C19" s="36" t="s">
        <v>15</v>
      </c>
      <c r="D19" s="25" t="s">
        <v>20</v>
      </c>
      <c r="E19" s="23" t="s">
        <v>20</v>
      </c>
      <c r="F19" s="23" t="s">
        <v>20</v>
      </c>
      <c r="G19" s="23" t="s">
        <v>20</v>
      </c>
      <c r="H19" s="24" t="s">
        <v>16</v>
      </c>
      <c r="I19" s="24" t="s">
        <v>16</v>
      </c>
      <c r="J19" s="24" t="s">
        <v>16</v>
      </c>
      <c r="K19" s="24" t="s">
        <v>16</v>
      </c>
    </row>
    <row r="20" spans="1:11" x14ac:dyDescent="0.25">
      <c r="A20" s="34" t="s">
        <v>17</v>
      </c>
      <c r="B20" s="35" t="s">
        <v>18</v>
      </c>
      <c r="C20" s="36" t="s">
        <v>19</v>
      </c>
      <c r="D20" s="25" t="s">
        <v>16</v>
      </c>
      <c r="E20" s="23" t="s">
        <v>16</v>
      </c>
      <c r="F20" s="23" t="s">
        <v>16</v>
      </c>
      <c r="G20" s="23" t="s">
        <v>16</v>
      </c>
      <c r="H20" s="24" t="s">
        <v>16</v>
      </c>
      <c r="I20" s="24" t="s">
        <v>16</v>
      </c>
      <c r="J20" s="24" t="s">
        <v>16</v>
      </c>
      <c r="K20" s="24" t="s">
        <v>16</v>
      </c>
    </row>
    <row r="21" spans="1:11" x14ac:dyDescent="0.25">
      <c r="A21" s="34" t="s">
        <v>21</v>
      </c>
      <c r="B21" s="35" t="s">
        <v>22</v>
      </c>
      <c r="C21" s="36" t="s">
        <v>23</v>
      </c>
      <c r="D21" s="25" t="s">
        <v>20</v>
      </c>
      <c r="E21" s="23" t="s">
        <v>20</v>
      </c>
      <c r="F21" s="23" t="s">
        <v>20</v>
      </c>
      <c r="G21" s="23" t="s">
        <v>20</v>
      </c>
      <c r="H21" s="24" t="s">
        <v>16</v>
      </c>
      <c r="I21" s="24" t="s">
        <v>16</v>
      </c>
      <c r="J21" s="24" t="s">
        <v>16</v>
      </c>
      <c r="K21" s="24" t="s">
        <v>16</v>
      </c>
    </row>
    <row r="22" spans="1:11" ht="38.25" customHeight="1" x14ac:dyDescent="0.25">
      <c r="A22" s="34" t="s">
        <v>21</v>
      </c>
      <c r="B22" s="35" t="s">
        <v>24</v>
      </c>
      <c r="C22" s="36" t="s">
        <v>25</v>
      </c>
      <c r="D22" s="25" t="s">
        <v>20</v>
      </c>
      <c r="E22" s="23" t="s">
        <v>16</v>
      </c>
      <c r="F22" s="23" t="s">
        <v>20</v>
      </c>
      <c r="G22" s="23" t="s">
        <v>20</v>
      </c>
      <c r="H22" s="24" t="s">
        <v>16</v>
      </c>
      <c r="I22" s="24" t="s">
        <v>16</v>
      </c>
      <c r="J22" s="24" t="s">
        <v>16</v>
      </c>
      <c r="K22" s="24" t="s">
        <v>16</v>
      </c>
    </row>
    <row r="23" spans="1:11" x14ac:dyDescent="0.25">
      <c r="A23" s="34" t="s">
        <v>21</v>
      </c>
      <c r="B23" s="35" t="s">
        <v>26</v>
      </c>
      <c r="C23" s="36" t="s">
        <v>27</v>
      </c>
      <c r="D23" s="25" t="s">
        <v>20</v>
      </c>
      <c r="E23" s="23" t="s">
        <v>20</v>
      </c>
      <c r="F23" s="23" t="s">
        <v>20</v>
      </c>
      <c r="G23" s="23" t="s">
        <v>20</v>
      </c>
      <c r="H23" s="24" t="s">
        <v>16</v>
      </c>
      <c r="I23" s="24" t="s">
        <v>16</v>
      </c>
      <c r="J23" s="24" t="s">
        <v>16</v>
      </c>
      <c r="K23" s="24" t="s">
        <v>16</v>
      </c>
    </row>
    <row r="24" spans="1:11" x14ac:dyDescent="0.25">
      <c r="A24" s="34" t="s">
        <v>21</v>
      </c>
      <c r="B24" s="35" t="s">
        <v>28</v>
      </c>
      <c r="C24" s="36" t="s">
        <v>29</v>
      </c>
      <c r="D24" s="25" t="s">
        <v>16</v>
      </c>
      <c r="E24" s="23" t="s">
        <v>20</v>
      </c>
      <c r="F24" s="23" t="s">
        <v>20</v>
      </c>
      <c r="G24" s="23" t="s">
        <v>16</v>
      </c>
      <c r="H24" s="24" t="s">
        <v>16</v>
      </c>
      <c r="I24" s="24" t="s">
        <v>16</v>
      </c>
      <c r="J24" s="24" t="s">
        <v>16</v>
      </c>
      <c r="K24" s="24" t="s">
        <v>16</v>
      </c>
    </row>
    <row r="25" spans="1:11" ht="25.5" customHeight="1" x14ac:dyDescent="0.25">
      <c r="A25" s="34" t="s">
        <v>21</v>
      </c>
      <c r="B25" s="35" t="s">
        <v>30</v>
      </c>
      <c r="C25" s="36" t="s">
        <v>31</v>
      </c>
      <c r="D25" s="25" t="s">
        <v>16</v>
      </c>
      <c r="E25" s="23" t="s">
        <v>16</v>
      </c>
      <c r="F25" s="23" t="s">
        <v>16</v>
      </c>
      <c r="G25" s="23" t="s">
        <v>16</v>
      </c>
      <c r="H25" s="24" t="s">
        <v>16</v>
      </c>
      <c r="I25" s="24" t="s">
        <v>16</v>
      </c>
      <c r="J25" s="24" t="s">
        <v>16</v>
      </c>
      <c r="K25" s="24" t="s">
        <v>16</v>
      </c>
    </row>
    <row r="26" spans="1:11" ht="15" customHeight="1" x14ac:dyDescent="0.25">
      <c r="A26" s="69" t="s">
        <v>32</v>
      </c>
      <c r="B26" s="69"/>
      <c r="C26" s="69"/>
      <c r="D26" s="26">
        <f t="shared" ref="D26:K26" si="3">COUNTIF(D19:D25,"J")</f>
        <v>3</v>
      </c>
      <c r="E26" s="27">
        <f t="shared" si="3"/>
        <v>3</v>
      </c>
      <c r="F26" s="27">
        <f t="shared" si="3"/>
        <v>2</v>
      </c>
      <c r="G26" s="27">
        <f t="shared" si="3"/>
        <v>3</v>
      </c>
      <c r="H26" s="27">
        <f t="shared" si="3"/>
        <v>7</v>
      </c>
      <c r="I26" s="27">
        <f t="shared" si="3"/>
        <v>7</v>
      </c>
      <c r="J26" s="27">
        <f t="shared" si="3"/>
        <v>7</v>
      </c>
      <c r="K26" s="27">
        <f t="shared" si="3"/>
        <v>7</v>
      </c>
    </row>
    <row r="27" spans="1:11" ht="15" customHeight="1" x14ac:dyDescent="0.25">
      <c r="A27" s="70" t="s">
        <v>33</v>
      </c>
      <c r="B27" s="70"/>
      <c r="C27" s="70"/>
      <c r="D27" s="28">
        <f t="shared" ref="D27:K27" si="4">COUNTIF(D19:D25,"N")</f>
        <v>4</v>
      </c>
      <c r="E27" s="29">
        <f t="shared" si="4"/>
        <v>4</v>
      </c>
      <c r="F27" s="29">
        <f t="shared" si="4"/>
        <v>5</v>
      </c>
      <c r="G27" s="29">
        <f t="shared" si="4"/>
        <v>4</v>
      </c>
      <c r="H27" s="29">
        <f t="shared" si="4"/>
        <v>0</v>
      </c>
      <c r="I27" s="29">
        <f t="shared" si="4"/>
        <v>0</v>
      </c>
      <c r="J27" s="29">
        <f t="shared" si="4"/>
        <v>0</v>
      </c>
      <c r="K27" s="29">
        <f t="shared" si="4"/>
        <v>0</v>
      </c>
    </row>
    <row r="28" spans="1:11" ht="15" customHeight="1" x14ac:dyDescent="0.25">
      <c r="A28" s="71" t="s">
        <v>34</v>
      </c>
      <c r="B28" s="71"/>
      <c r="C28" s="71"/>
      <c r="D28" s="30" t="s">
        <v>30</v>
      </c>
      <c r="E28" s="31" t="s">
        <v>30</v>
      </c>
      <c r="F28" s="31" t="s">
        <v>30</v>
      </c>
      <c r="G28" s="31" t="s">
        <v>30</v>
      </c>
      <c r="H28" s="31" t="s">
        <v>30</v>
      </c>
      <c r="I28" s="31" t="s">
        <v>30</v>
      </c>
      <c r="J28" s="31" t="s">
        <v>30</v>
      </c>
      <c r="K28" s="31" t="s">
        <v>30</v>
      </c>
    </row>
    <row r="29" spans="1:11" ht="15" customHeight="1" x14ac:dyDescent="0.25">
      <c r="A29" s="71" t="s">
        <v>35</v>
      </c>
      <c r="B29" s="71"/>
      <c r="C29" s="71"/>
      <c r="D29" s="32">
        <f t="shared" ref="D29:K29" si="5">IFERROR(D26/D28,0)</f>
        <v>0.42857142857142855</v>
      </c>
      <c r="E29" s="33">
        <f t="shared" si="5"/>
        <v>0.42857142857142855</v>
      </c>
      <c r="F29" s="33">
        <f t="shared" si="5"/>
        <v>0.2857142857142857</v>
      </c>
      <c r="G29" s="33">
        <f t="shared" si="5"/>
        <v>0.42857142857142855</v>
      </c>
      <c r="H29" s="33">
        <f t="shared" si="5"/>
        <v>1</v>
      </c>
      <c r="I29" s="33">
        <f t="shared" si="5"/>
        <v>1</v>
      </c>
      <c r="J29" s="33">
        <f t="shared" si="5"/>
        <v>1</v>
      </c>
      <c r="K29" s="33">
        <f t="shared" si="5"/>
        <v>1</v>
      </c>
    </row>
    <row r="31" spans="1:11" ht="15" customHeight="1" x14ac:dyDescent="0.25">
      <c r="A31" s="68" t="s">
        <v>37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</row>
    <row r="32" spans="1:11" x14ac:dyDescent="0.25">
      <c r="A32" s="19" t="s">
        <v>13</v>
      </c>
      <c r="B32" s="20" t="s">
        <v>14</v>
      </c>
      <c r="C32" s="21" t="s">
        <v>15</v>
      </c>
      <c r="D32" s="25" t="s">
        <v>20</v>
      </c>
      <c r="E32" s="23" t="s">
        <v>20</v>
      </c>
      <c r="F32" s="23" t="s">
        <v>16</v>
      </c>
      <c r="G32" s="23" t="s">
        <v>20</v>
      </c>
      <c r="H32" s="24" t="s">
        <v>16</v>
      </c>
      <c r="I32" s="24" t="s">
        <v>16</v>
      </c>
      <c r="J32" s="24" t="s">
        <v>16</v>
      </c>
      <c r="K32" s="24" t="s">
        <v>16</v>
      </c>
    </row>
    <row r="33" spans="1:11" x14ac:dyDescent="0.25">
      <c r="A33" s="19" t="s">
        <v>17</v>
      </c>
      <c r="B33" s="20" t="s">
        <v>18</v>
      </c>
      <c r="C33" s="21" t="s">
        <v>19</v>
      </c>
      <c r="D33" s="25" t="s">
        <v>20</v>
      </c>
      <c r="E33" s="23" t="s">
        <v>16</v>
      </c>
      <c r="F33" s="23" t="s">
        <v>16</v>
      </c>
      <c r="G33" s="23" t="s">
        <v>16</v>
      </c>
      <c r="H33" s="24" t="s">
        <v>16</v>
      </c>
      <c r="I33" s="24" t="s">
        <v>16</v>
      </c>
      <c r="J33" s="24" t="s">
        <v>16</v>
      </c>
      <c r="K33" s="24" t="s">
        <v>16</v>
      </c>
    </row>
    <row r="34" spans="1:11" x14ac:dyDescent="0.25">
      <c r="A34" s="19" t="s">
        <v>21</v>
      </c>
      <c r="B34" s="20" t="s">
        <v>22</v>
      </c>
      <c r="C34" s="21" t="s">
        <v>23</v>
      </c>
      <c r="D34" s="25" t="s">
        <v>20</v>
      </c>
      <c r="E34" s="23" t="s">
        <v>20</v>
      </c>
      <c r="F34" s="23" t="s">
        <v>20</v>
      </c>
      <c r="G34" s="23" t="s">
        <v>20</v>
      </c>
      <c r="H34" s="24" t="s">
        <v>16</v>
      </c>
      <c r="I34" s="24" t="s">
        <v>20</v>
      </c>
      <c r="J34" s="24" t="s">
        <v>16</v>
      </c>
      <c r="K34" s="24" t="s">
        <v>20</v>
      </c>
    </row>
    <row r="35" spans="1:11" ht="38.25" customHeight="1" x14ac:dyDescent="0.25">
      <c r="A35" s="19" t="s">
        <v>21</v>
      </c>
      <c r="B35" s="20" t="s">
        <v>24</v>
      </c>
      <c r="C35" s="21" t="s">
        <v>25</v>
      </c>
      <c r="D35" s="25" t="s">
        <v>20</v>
      </c>
      <c r="E35" s="23" t="s">
        <v>20</v>
      </c>
      <c r="F35" s="23" t="s">
        <v>20</v>
      </c>
      <c r="G35" s="23" t="s">
        <v>20</v>
      </c>
      <c r="H35" s="24" t="s">
        <v>16</v>
      </c>
      <c r="I35" s="24" t="s">
        <v>16</v>
      </c>
      <c r="J35" s="24" t="s">
        <v>16</v>
      </c>
      <c r="K35" s="24" t="s">
        <v>16</v>
      </c>
    </row>
    <row r="36" spans="1:11" x14ac:dyDescent="0.25">
      <c r="A36" s="19" t="s">
        <v>21</v>
      </c>
      <c r="B36" s="20" t="s">
        <v>26</v>
      </c>
      <c r="C36" s="21" t="s">
        <v>27</v>
      </c>
      <c r="D36" s="25" t="s">
        <v>20</v>
      </c>
      <c r="E36" s="23" t="s">
        <v>20</v>
      </c>
      <c r="F36" s="23" t="s">
        <v>20</v>
      </c>
      <c r="G36" s="23" t="s">
        <v>20</v>
      </c>
      <c r="H36" s="24" t="s">
        <v>16</v>
      </c>
      <c r="I36" s="24" t="s">
        <v>16</v>
      </c>
      <c r="J36" s="24" t="s">
        <v>16</v>
      </c>
      <c r="K36" s="24" t="s">
        <v>16</v>
      </c>
    </row>
    <row r="37" spans="1:11" x14ac:dyDescent="0.25">
      <c r="A37" s="19" t="s">
        <v>21</v>
      </c>
      <c r="B37" s="20" t="s">
        <v>28</v>
      </c>
      <c r="C37" s="21" t="s">
        <v>29</v>
      </c>
      <c r="D37" s="25" t="s">
        <v>20</v>
      </c>
      <c r="E37" s="23" t="s">
        <v>20</v>
      </c>
      <c r="F37" s="23" t="s">
        <v>20</v>
      </c>
      <c r="G37" s="23" t="s">
        <v>20</v>
      </c>
      <c r="H37" s="24" t="s">
        <v>16</v>
      </c>
      <c r="I37" s="24" t="s">
        <v>16</v>
      </c>
      <c r="J37" s="24" t="s">
        <v>16</v>
      </c>
      <c r="K37" s="24" t="s">
        <v>20</v>
      </c>
    </row>
    <row r="38" spans="1:11" ht="25.5" customHeight="1" x14ac:dyDescent="0.25">
      <c r="A38" s="19" t="s">
        <v>21</v>
      </c>
      <c r="B38" s="20" t="s">
        <v>30</v>
      </c>
      <c r="C38" s="21" t="s">
        <v>31</v>
      </c>
      <c r="D38" s="25" t="s">
        <v>16</v>
      </c>
      <c r="E38" s="23" t="s">
        <v>16</v>
      </c>
      <c r="F38" s="23" t="s">
        <v>16</v>
      </c>
      <c r="G38" s="23" t="s">
        <v>16</v>
      </c>
      <c r="H38" s="24" t="s">
        <v>16</v>
      </c>
      <c r="I38" s="24" t="s">
        <v>16</v>
      </c>
      <c r="J38" s="24" t="s">
        <v>16</v>
      </c>
      <c r="K38" s="24" t="s">
        <v>16</v>
      </c>
    </row>
    <row r="39" spans="1:11" ht="15" customHeight="1" x14ac:dyDescent="0.25">
      <c r="A39" s="69" t="s">
        <v>32</v>
      </c>
      <c r="B39" s="69"/>
      <c r="C39" s="69"/>
      <c r="D39" s="26">
        <v>1</v>
      </c>
      <c r="E39" s="27">
        <f t="shared" ref="E39:K39" si="6">COUNTIF(E32:E38,"J")</f>
        <v>2</v>
      </c>
      <c r="F39" s="27">
        <f t="shared" si="6"/>
        <v>3</v>
      </c>
      <c r="G39" s="27">
        <f t="shared" si="6"/>
        <v>2</v>
      </c>
      <c r="H39" s="27">
        <f t="shared" si="6"/>
        <v>7</v>
      </c>
      <c r="I39" s="27">
        <f t="shared" si="6"/>
        <v>6</v>
      </c>
      <c r="J39" s="27">
        <f t="shared" si="6"/>
        <v>7</v>
      </c>
      <c r="K39" s="27">
        <f t="shared" si="6"/>
        <v>5</v>
      </c>
    </row>
    <row r="40" spans="1:11" ht="15" customHeight="1" x14ac:dyDescent="0.25">
      <c r="A40" s="70" t="s">
        <v>33</v>
      </c>
      <c r="B40" s="70"/>
      <c r="C40" s="70"/>
      <c r="D40" s="28">
        <v>6</v>
      </c>
      <c r="E40" s="29">
        <f t="shared" ref="E40:K40" si="7">COUNTIF(E32:E38,"N")</f>
        <v>5</v>
      </c>
      <c r="F40" s="29">
        <f t="shared" si="7"/>
        <v>4</v>
      </c>
      <c r="G40" s="29">
        <f t="shared" si="7"/>
        <v>5</v>
      </c>
      <c r="H40" s="29">
        <f t="shared" si="7"/>
        <v>0</v>
      </c>
      <c r="I40" s="29">
        <f t="shared" si="7"/>
        <v>1</v>
      </c>
      <c r="J40" s="29">
        <f t="shared" si="7"/>
        <v>0</v>
      </c>
      <c r="K40" s="29">
        <f t="shared" si="7"/>
        <v>2</v>
      </c>
    </row>
    <row r="41" spans="1:11" ht="15" customHeight="1" x14ac:dyDescent="0.25">
      <c r="A41" s="71" t="s">
        <v>34</v>
      </c>
      <c r="B41" s="71"/>
      <c r="C41" s="71"/>
      <c r="D41" s="30" t="s">
        <v>30</v>
      </c>
      <c r="E41" s="31" t="s">
        <v>30</v>
      </c>
      <c r="F41" s="31" t="s">
        <v>30</v>
      </c>
      <c r="G41" s="31" t="s">
        <v>30</v>
      </c>
      <c r="H41" s="31" t="s">
        <v>30</v>
      </c>
      <c r="I41" s="31" t="s">
        <v>30</v>
      </c>
      <c r="J41" s="31" t="s">
        <v>30</v>
      </c>
      <c r="K41" s="31" t="s">
        <v>30</v>
      </c>
    </row>
    <row r="42" spans="1:11" ht="15" customHeight="1" x14ac:dyDescent="0.25">
      <c r="A42" s="71" t="s">
        <v>35</v>
      </c>
      <c r="B42" s="71"/>
      <c r="C42" s="71"/>
      <c r="D42" s="32">
        <f t="shared" ref="D42:K42" si="8">IFERROR(D39/D41,0)</f>
        <v>0.14285714285714285</v>
      </c>
      <c r="E42" s="33">
        <f t="shared" si="8"/>
        <v>0.2857142857142857</v>
      </c>
      <c r="F42" s="33">
        <f t="shared" si="8"/>
        <v>0.42857142857142855</v>
      </c>
      <c r="G42" s="33">
        <f t="shared" si="8"/>
        <v>0.2857142857142857</v>
      </c>
      <c r="H42" s="33">
        <f t="shared" si="8"/>
        <v>1</v>
      </c>
      <c r="I42" s="33">
        <f t="shared" si="8"/>
        <v>0.8571428571428571</v>
      </c>
      <c r="J42" s="33">
        <f t="shared" si="8"/>
        <v>1</v>
      </c>
      <c r="K42" s="33">
        <f t="shared" si="8"/>
        <v>0.7142857142857143</v>
      </c>
    </row>
  </sheetData>
  <mergeCells count="19">
    <mergeCell ref="A39:C39"/>
    <mergeCell ref="A40:C40"/>
    <mergeCell ref="A41:C41"/>
    <mergeCell ref="A42:C42"/>
    <mergeCell ref="A26:C26"/>
    <mergeCell ref="A27:C27"/>
    <mergeCell ref="A28:C28"/>
    <mergeCell ref="A29:C29"/>
    <mergeCell ref="A31:K31"/>
    <mergeCell ref="A13:C13"/>
    <mergeCell ref="A14:C14"/>
    <mergeCell ref="A15:C15"/>
    <mergeCell ref="A16:C16"/>
    <mergeCell ref="A18:K18"/>
    <mergeCell ref="A1:K1"/>
    <mergeCell ref="A2:B2"/>
    <mergeCell ref="D3:G3"/>
    <mergeCell ref="H3:K3"/>
    <mergeCell ref="A5:K5"/>
  </mergeCells>
  <pageMargins left="0.75" right="0.75" top="1" bottom="1" header="0.511811023622047" footer="0.51180555555555596"/>
  <pageSetup paperSize="9" orientation="portrait" horizontalDpi="300" verticalDpi="300"/>
  <headerFooter>
    <oddFooter>&amp;C&amp;"Verdana,Regular"&amp;7 _x005F_x000d_#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10" sqref="H10"/>
    </sheetView>
  </sheetViews>
  <sheetFormatPr baseColWidth="10" defaultColWidth="8.7109375" defaultRowHeight="15" x14ac:dyDescent="0.25"/>
  <cols>
    <col min="1" max="1" width="4" customWidth="1"/>
    <col min="2" max="2" width="42" customWidth="1"/>
    <col min="3" max="3" width="15" customWidth="1"/>
    <col min="4" max="9" width="10" customWidth="1"/>
    <col min="10" max="10" width="12" customWidth="1"/>
    <col min="11" max="11" width="14" customWidth="1"/>
  </cols>
  <sheetData>
    <row r="1" spans="1:11" ht="27.75" customHeight="1" x14ac:dyDescent="0.25">
      <c r="A1" s="72" t="s">
        <v>38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5" customHeight="1" x14ac:dyDescent="0.25">
      <c r="A2" s="66" t="s">
        <v>39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ht="38.25" x14ac:dyDescent="0.25">
      <c r="A3" s="37"/>
      <c r="B3" s="37" t="s">
        <v>40</v>
      </c>
      <c r="C3" s="37" t="s">
        <v>41</v>
      </c>
      <c r="D3" s="37" t="s">
        <v>42</v>
      </c>
      <c r="E3" s="37" t="s">
        <v>43</v>
      </c>
      <c r="F3" s="37" t="s">
        <v>44</v>
      </c>
      <c r="G3" s="37" t="s">
        <v>45</v>
      </c>
      <c r="H3" s="37" t="s">
        <v>46</v>
      </c>
      <c r="I3" s="37" t="s">
        <v>47</v>
      </c>
      <c r="J3" s="37" t="s">
        <v>48</v>
      </c>
      <c r="K3" s="37" t="s">
        <v>49</v>
      </c>
    </row>
    <row r="4" spans="1:11" ht="28.5" customHeight="1" x14ac:dyDescent="0.25">
      <c r="A4" s="38"/>
      <c r="B4" s="39" t="s">
        <v>50</v>
      </c>
      <c r="C4" s="40" t="s">
        <v>51</v>
      </c>
      <c r="D4" s="61">
        <f>Rådata!D16</f>
        <v>0.5714285714285714</v>
      </c>
      <c r="E4" s="61">
        <f>Rådata!E16</f>
        <v>0.42857142857142855</v>
      </c>
      <c r="F4" s="61">
        <f>Rådata!F16</f>
        <v>0.42857142857142855</v>
      </c>
      <c r="G4" s="61">
        <f>Rådata!G16</f>
        <v>0.42857142857142855</v>
      </c>
      <c r="H4" s="57">
        <f>AVERAGE(D4:G4)</f>
        <v>0.4642857142857143</v>
      </c>
      <c r="I4" s="27">
        <f>Rådata!D13+Rådata!E13+Rådata!F13+Rådata!G13</f>
        <v>13</v>
      </c>
      <c r="J4" s="29">
        <f>Rådata!D14+Rådata!E14+Rådata!F14+Rådata!G14</f>
        <v>15</v>
      </c>
      <c r="K4" s="31">
        <f>+I4+J4</f>
        <v>28</v>
      </c>
    </row>
    <row r="5" spans="1:11" ht="31.5" customHeight="1" x14ac:dyDescent="0.25">
      <c r="A5" s="41"/>
      <c r="B5" s="42" t="s">
        <v>50</v>
      </c>
      <c r="C5" s="43" t="s">
        <v>52</v>
      </c>
      <c r="D5" s="62">
        <f>Rådata!H16</f>
        <v>0.8571428571428571</v>
      </c>
      <c r="E5" s="62">
        <f>Rådata!I16</f>
        <v>0.7142857142857143</v>
      </c>
      <c r="F5" s="62">
        <f>Rådata!J16</f>
        <v>1</v>
      </c>
      <c r="G5" s="62">
        <f>Rådata!K16</f>
        <v>0.7142857142857143</v>
      </c>
      <c r="H5" s="57">
        <f>AVERAGE(D5:G5)</f>
        <v>0.8214285714285714</v>
      </c>
      <c r="I5" s="27">
        <f>Rådata!H13+Rådata!I13+Rådata!J13+Rådata!K13</f>
        <v>23</v>
      </c>
      <c r="J5" s="29">
        <f>Rådata!H14+Rådata!I14+Rådata!J14+Rådata!K14</f>
        <v>5</v>
      </c>
      <c r="K5" s="31">
        <f>+I5+J5</f>
        <v>28</v>
      </c>
    </row>
    <row r="6" spans="1:11" x14ac:dyDescent="0.25">
      <c r="H6" s="58"/>
    </row>
    <row r="7" spans="1:11" ht="26.25" customHeight="1" x14ac:dyDescent="0.25">
      <c r="A7" s="38"/>
      <c r="B7" s="39" t="s">
        <v>53</v>
      </c>
      <c r="C7" s="40" t="s">
        <v>51</v>
      </c>
      <c r="D7" s="61">
        <f>Rådata!D29</f>
        <v>0.42857142857142855</v>
      </c>
      <c r="E7" s="61">
        <f>Rådata!E29</f>
        <v>0.42857142857142855</v>
      </c>
      <c r="F7" s="61">
        <f>Rådata!F29</f>
        <v>0.2857142857142857</v>
      </c>
      <c r="G7" s="61">
        <f>Rådata!G29</f>
        <v>0.42857142857142855</v>
      </c>
      <c r="H7" s="57">
        <f>AVERAGE(D7:G7)</f>
        <v>0.39285714285714285</v>
      </c>
      <c r="I7" s="27">
        <f>Rådata!D26+Rådata!E26+Rådata!F26+Rådata!G26</f>
        <v>11</v>
      </c>
      <c r="J7" s="29">
        <f>Rådata!D27+Rådata!E27+Rådata!F27+Rådata!G27</f>
        <v>17</v>
      </c>
      <c r="K7" s="31">
        <f t="shared" ref="K7:K10" si="0">+I7+J7</f>
        <v>28</v>
      </c>
    </row>
    <row r="8" spans="1:11" ht="28.5" customHeight="1" x14ac:dyDescent="0.25">
      <c r="A8" s="41"/>
      <c r="B8" s="42" t="s">
        <v>53</v>
      </c>
      <c r="C8" s="43" t="s">
        <v>52</v>
      </c>
      <c r="D8" s="62">
        <f>Rådata!H29</f>
        <v>1</v>
      </c>
      <c r="E8" s="62">
        <f>Rådata!I29</f>
        <v>1</v>
      </c>
      <c r="F8" s="62">
        <f>Rådata!J29</f>
        <v>1</v>
      </c>
      <c r="G8" s="62">
        <f>Rådata!K29</f>
        <v>1</v>
      </c>
      <c r="H8" s="57">
        <f>AVERAGE(D8:G8)</f>
        <v>1</v>
      </c>
      <c r="I8" s="27">
        <f>Rådata!H26+Rådata!I26+Rådata!J26+Rådata!K26</f>
        <v>28</v>
      </c>
      <c r="J8" s="29">
        <f>Rådata!H27+Rådata!I27+Rådata!J27+Rådata!K27</f>
        <v>0</v>
      </c>
      <c r="K8" s="31">
        <f t="shared" si="0"/>
        <v>28</v>
      </c>
    </row>
    <row r="9" spans="1:11" x14ac:dyDescent="0.25">
      <c r="H9" s="58"/>
    </row>
    <row r="10" spans="1:11" ht="30.75" customHeight="1" x14ac:dyDescent="0.25">
      <c r="A10" s="38"/>
      <c r="B10" s="39" t="s">
        <v>54</v>
      </c>
      <c r="C10" s="40" t="s">
        <v>51</v>
      </c>
      <c r="D10" s="61">
        <f>Rådata!D42</f>
        <v>0.14285714285714285</v>
      </c>
      <c r="E10" s="61">
        <f>Rådata!E42</f>
        <v>0.2857142857142857</v>
      </c>
      <c r="F10" s="61">
        <f>Rådata!F42</f>
        <v>0.42857142857142855</v>
      </c>
      <c r="G10" s="61">
        <f>Rådata!G42</f>
        <v>0.2857142857142857</v>
      </c>
      <c r="H10" s="57">
        <f>AVERAGE(D10:G10)</f>
        <v>0.2857142857142857</v>
      </c>
      <c r="I10" s="27">
        <f>Rådata!D39+Rådata!E39+Rådata!F39+Rådata!G39</f>
        <v>8</v>
      </c>
      <c r="J10" s="29">
        <f>Rådata!D40+Rådata!E40+Rådata!F40+Rådata!G40</f>
        <v>20</v>
      </c>
      <c r="K10" s="31">
        <f t="shared" si="0"/>
        <v>28</v>
      </c>
    </row>
    <row r="11" spans="1:11" ht="28.5" customHeight="1" x14ac:dyDescent="0.25">
      <c r="A11" s="41"/>
      <c r="B11" s="42" t="s">
        <v>54</v>
      </c>
      <c r="C11" s="43" t="s">
        <v>52</v>
      </c>
      <c r="D11" s="62">
        <f>Rådata!H42</f>
        <v>1</v>
      </c>
      <c r="E11" s="62">
        <f>Rådata!I42</f>
        <v>0.8571428571428571</v>
      </c>
      <c r="F11" s="62">
        <f>Rådata!J42</f>
        <v>1</v>
      </c>
      <c r="G11" s="62">
        <f>Rådata!K42</f>
        <v>0.7142857142857143</v>
      </c>
      <c r="H11" s="57">
        <f>AVERAGE(D11:G11)</f>
        <v>0.8928571428571429</v>
      </c>
      <c r="I11" s="27">
        <f>Rådata!H39+Rådata!I39+Rådata!J39+Rådata!K39</f>
        <v>25</v>
      </c>
      <c r="J11" s="29">
        <f>Rådata!H40+Rådata!I40+Rådata!J40+Rådata!K40</f>
        <v>3</v>
      </c>
      <c r="K11" s="31">
        <f>+I11+J11</f>
        <v>28</v>
      </c>
    </row>
    <row r="12" spans="1:11" x14ac:dyDescent="0.25">
      <c r="H12" s="58"/>
    </row>
    <row r="13" spans="1:11" x14ac:dyDescent="0.25">
      <c r="H13" s="58"/>
    </row>
    <row r="14" spans="1:11" ht="15" customHeight="1" x14ac:dyDescent="0.25">
      <c r="A14" s="73" t="s">
        <v>55</v>
      </c>
      <c r="B14" s="73"/>
      <c r="C14" s="73"/>
      <c r="D14" s="73"/>
      <c r="E14" s="73"/>
      <c r="F14" s="73"/>
      <c r="G14" s="73"/>
      <c r="H14" s="59"/>
      <c r="I14" s="44"/>
      <c r="J14" s="44"/>
      <c r="K14" s="44"/>
    </row>
    <row r="15" spans="1:11" ht="29.25" customHeight="1" x14ac:dyDescent="0.25">
      <c r="A15" s="38"/>
      <c r="B15" s="38"/>
      <c r="C15" s="40" t="s">
        <v>51</v>
      </c>
      <c r="H15" s="60">
        <f>AVERAGE(H4,H7,H10)</f>
        <v>0.38095238095238093</v>
      </c>
    </row>
    <row r="16" spans="1:11" ht="30" customHeight="1" x14ac:dyDescent="0.25">
      <c r="A16" s="41"/>
      <c r="B16" s="41"/>
      <c r="C16" s="43" t="s">
        <v>52</v>
      </c>
      <c r="H16" s="60">
        <f>AVERAGE(H5,H8,H11)</f>
        <v>0.90476190476190477</v>
      </c>
    </row>
    <row r="19" spans="1:11" ht="15" customHeight="1" x14ac:dyDescent="0.25">
      <c r="A19" s="66" t="s">
        <v>56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</row>
    <row r="20" spans="1:11" ht="30" customHeight="1" x14ac:dyDescent="0.25">
      <c r="A20" s="37"/>
      <c r="B20" s="37" t="s">
        <v>57</v>
      </c>
      <c r="C20" s="63" t="s">
        <v>6</v>
      </c>
      <c r="D20" s="37" t="s">
        <v>58</v>
      </c>
      <c r="E20" s="37" t="s">
        <v>59</v>
      </c>
      <c r="F20" s="37" t="s">
        <v>60</v>
      </c>
      <c r="G20" s="37" t="s">
        <v>61</v>
      </c>
      <c r="H20" s="37" t="s">
        <v>62</v>
      </c>
      <c r="I20" s="37" t="s">
        <v>63</v>
      </c>
    </row>
    <row r="21" spans="1:11" ht="18" customHeight="1" x14ac:dyDescent="0.25">
      <c r="A21" s="45"/>
      <c r="B21" s="46" t="s">
        <v>64</v>
      </c>
      <c r="C21" s="45" t="s">
        <v>14</v>
      </c>
      <c r="D21" s="56">
        <f>SUMPRODUCT(([1]Rådata!D6:G6="J")*1)</f>
        <v>4</v>
      </c>
      <c r="E21" s="56">
        <f>SUMPRODUCT(([1]Rådata!H6:K6="J")*1)</f>
        <v>4</v>
      </c>
      <c r="F21" s="56">
        <f>SUMPRODUCT(([1]Rådata!D19:G19="J")*1)</f>
        <v>0</v>
      </c>
      <c r="G21" s="56">
        <f>SUMPRODUCT(([1]Rådata!H19:K19="J")*1)</f>
        <v>4</v>
      </c>
      <c r="H21" s="56">
        <f>SUMPRODUCT(([1]Rådata!D32:G32="J")*1)</f>
        <v>1</v>
      </c>
      <c r="I21" s="56">
        <f>SUMPRODUCT(([1]Rådata!H32:K32="J")*1)</f>
        <v>4</v>
      </c>
    </row>
    <row r="22" spans="1:11" ht="18" customHeight="1" x14ac:dyDescent="0.25">
      <c r="A22" s="35"/>
      <c r="B22" s="47" t="s">
        <v>65</v>
      </c>
      <c r="C22" s="35" t="s">
        <v>18</v>
      </c>
      <c r="D22" s="56">
        <f>SUMPRODUCT(([1]Rådata!D7:G7="J")*1)</f>
        <v>3</v>
      </c>
      <c r="E22" s="56">
        <f>SUMPRODUCT(([1]Rådata!H7:K7="J")*1)</f>
        <v>4</v>
      </c>
      <c r="F22" s="56">
        <f>SUMPRODUCT(([1]Rådata!D20:G20="J")*1)</f>
        <v>4</v>
      </c>
      <c r="G22" s="56">
        <f>SUMPRODUCT(([1]Rådata!H20:K20="J")*1)</f>
        <v>4</v>
      </c>
      <c r="H22" s="56">
        <f>SUMPRODUCT(([1]Rådata!D33:G33="J")*1)</f>
        <v>3</v>
      </c>
      <c r="I22" s="56">
        <f>SUMPRODUCT(([1]Rådata!H33:K33="J")*1)</f>
        <v>4</v>
      </c>
    </row>
    <row r="23" spans="1:11" ht="18" customHeight="1" x14ac:dyDescent="0.25">
      <c r="A23" s="45"/>
      <c r="B23" s="48" t="s">
        <v>66</v>
      </c>
      <c r="C23" s="45" t="s">
        <v>22</v>
      </c>
      <c r="D23" s="56">
        <f>SUMPRODUCT(([1]Rådata!D8:G8="J")*1)</f>
        <v>0</v>
      </c>
      <c r="E23" s="56">
        <f>SUMPRODUCT(([1]Rådata!H8:K8="J")*1)</f>
        <v>3</v>
      </c>
      <c r="F23" s="56">
        <f>SUMPRODUCT(([1]Rådata!D21:G21="J")*1)</f>
        <v>0</v>
      </c>
      <c r="G23" s="56">
        <f>SUMPRODUCT(([1]Rådata!H21:K21="J")*1)</f>
        <v>4</v>
      </c>
      <c r="H23" s="56">
        <f>SUMPRODUCT(([1]Rådata!D34:G34="J")*1)</f>
        <v>0</v>
      </c>
      <c r="I23" s="56">
        <f>SUMPRODUCT(([1]Rådata!H34:K34="J")*1)</f>
        <v>2</v>
      </c>
    </row>
    <row r="24" spans="1:11" ht="31.5" customHeight="1" x14ac:dyDescent="0.25">
      <c r="A24" s="35"/>
      <c r="B24" s="49" t="s">
        <v>67</v>
      </c>
      <c r="C24" s="35" t="s">
        <v>24</v>
      </c>
      <c r="D24" s="56">
        <f>SUMPRODUCT(([1]Rådata!D9:G9="J")*1)</f>
        <v>0</v>
      </c>
      <c r="E24" s="56">
        <f>SUMPRODUCT(([1]Rådata!H9:K9="J")*1)</f>
        <v>3</v>
      </c>
      <c r="F24" s="56">
        <f>SUMPRODUCT(([1]Rådata!D22:G22="J")*1)</f>
        <v>1</v>
      </c>
      <c r="G24" s="56">
        <f>SUMPRODUCT(([1]Rådata!H22:K22="J")*1)</f>
        <v>4</v>
      </c>
      <c r="H24" s="56">
        <f>SUMPRODUCT(([1]Rådata!D35:G35="J")*1)</f>
        <v>0</v>
      </c>
      <c r="I24" s="56">
        <f>SUMPRODUCT(([1]Rådata!H35:K35="J")*1)</f>
        <v>4</v>
      </c>
    </row>
    <row r="25" spans="1:11" ht="18" customHeight="1" x14ac:dyDescent="0.25">
      <c r="A25" s="45"/>
      <c r="B25" s="48" t="s">
        <v>68</v>
      </c>
      <c r="C25" s="45" t="s">
        <v>26</v>
      </c>
      <c r="D25" s="56">
        <f>SUMPRODUCT(([1]Rådata!D10:G10="J")*1)</f>
        <v>2</v>
      </c>
      <c r="E25" s="56">
        <f>SUMPRODUCT(([1]Rådata!H10:K10="J")*1)</f>
        <v>3</v>
      </c>
      <c r="F25" s="56">
        <f>SUMPRODUCT(([1]Rådata!D23:G23="J")*1)</f>
        <v>0</v>
      </c>
      <c r="G25" s="56">
        <f>SUMPRODUCT(([1]Rådata!H23:K23="J")*1)</f>
        <v>4</v>
      </c>
      <c r="H25" s="56">
        <f>SUMPRODUCT(([1]Rådata!D36:G36="J")*1)</f>
        <v>0</v>
      </c>
      <c r="I25" s="56">
        <f>SUMPRODUCT(([1]Rådata!H36:K36="J")*1)</f>
        <v>4</v>
      </c>
    </row>
    <row r="26" spans="1:11" ht="31.5" customHeight="1" x14ac:dyDescent="0.25">
      <c r="A26" s="35"/>
      <c r="B26" s="49" t="s">
        <v>69</v>
      </c>
      <c r="C26" s="35" t="s">
        <v>28</v>
      </c>
      <c r="D26" s="56">
        <f>SUMPRODUCT(([1]Rådata!D11:G11="J")*1)</f>
        <v>0</v>
      </c>
      <c r="E26" s="56">
        <f>SUMPRODUCT(([1]Rådata!H11:K11="J")*1)</f>
        <v>2</v>
      </c>
      <c r="F26" s="56">
        <f>SUMPRODUCT(([1]Rådata!D24:G24="J")*1)</f>
        <v>2</v>
      </c>
      <c r="G26" s="56">
        <f>SUMPRODUCT(([1]Rådata!H24:K24="J")*1)</f>
        <v>4</v>
      </c>
      <c r="H26" s="56">
        <f>SUMPRODUCT(([1]Rådata!D37:G37="J")*1)</f>
        <v>0</v>
      </c>
      <c r="I26" s="56">
        <f>SUMPRODUCT(([1]Rådata!H37:K37="J")*1)</f>
        <v>3</v>
      </c>
    </row>
    <row r="27" spans="1:11" ht="31.5" customHeight="1" x14ac:dyDescent="0.25">
      <c r="A27" s="45"/>
      <c r="B27" s="48" t="s">
        <v>70</v>
      </c>
      <c r="C27" s="45" t="s">
        <v>30</v>
      </c>
      <c r="D27" s="56">
        <f>SUMPRODUCT(([1]Rådata!D12:G12="J")*1)</f>
        <v>4</v>
      </c>
      <c r="E27" s="56">
        <f>SUMPRODUCT(([1]Rådata!H12:K12="J")*1)</f>
        <v>4</v>
      </c>
      <c r="F27" s="56">
        <f>SUMPRODUCT(([1]Rådata!D25:G25="J")*1)</f>
        <v>4</v>
      </c>
      <c r="G27" s="56">
        <f>SUMPRODUCT(([1]Rådata!H25:K25="J")*1)</f>
        <v>4</v>
      </c>
      <c r="H27" s="56">
        <f>SUMPRODUCT(([1]Rådata!D38:G38="J")*1)</f>
        <v>3</v>
      </c>
      <c r="I27" s="56">
        <f>SUMPRODUCT(([1]Rådata!H38:K38="J")*1)</f>
        <v>4</v>
      </c>
    </row>
    <row r="30" spans="1:11" ht="15" customHeight="1" x14ac:dyDescent="0.25">
      <c r="A30" s="74" t="s">
        <v>71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</row>
    <row r="31" spans="1:11" ht="18" customHeight="1" x14ac:dyDescent="0.25">
      <c r="A31" s="50"/>
      <c r="B31" s="75" t="s">
        <v>72</v>
      </c>
      <c r="C31" s="75"/>
      <c r="D31" s="75"/>
      <c r="E31" s="75"/>
      <c r="F31" s="75"/>
      <c r="G31" s="75"/>
      <c r="H31" s="75"/>
      <c r="I31" s="75"/>
      <c r="J31" s="75"/>
      <c r="K31" s="75"/>
    </row>
    <row r="32" spans="1:11" ht="18" customHeight="1" x14ac:dyDescent="0.25">
      <c r="A32" s="50"/>
      <c r="B32" s="75" t="s">
        <v>73</v>
      </c>
      <c r="C32" s="75"/>
      <c r="D32" s="75"/>
      <c r="E32" s="75"/>
      <c r="F32" s="75"/>
      <c r="G32" s="75"/>
      <c r="H32" s="75"/>
      <c r="I32" s="75"/>
      <c r="J32" s="75"/>
      <c r="K32" s="75"/>
    </row>
    <row r="33" spans="1:11" ht="18" customHeight="1" x14ac:dyDescent="0.25">
      <c r="A33" s="50"/>
      <c r="B33" s="75" t="s">
        <v>74</v>
      </c>
      <c r="C33" s="75"/>
      <c r="D33" s="75"/>
      <c r="E33" s="75"/>
      <c r="F33" s="75"/>
      <c r="G33" s="75"/>
      <c r="H33" s="75"/>
      <c r="I33" s="75"/>
      <c r="J33" s="75"/>
      <c r="K33" s="75"/>
    </row>
    <row r="34" spans="1:11" ht="18" customHeight="1" x14ac:dyDescent="0.25">
      <c r="A34" s="50"/>
      <c r="B34" s="75" t="s">
        <v>75</v>
      </c>
      <c r="C34" s="75"/>
      <c r="D34" s="75"/>
      <c r="E34" s="75"/>
      <c r="F34" s="75"/>
      <c r="G34" s="75"/>
      <c r="H34" s="75"/>
      <c r="I34" s="75"/>
      <c r="J34" s="75"/>
      <c r="K34" s="75"/>
    </row>
    <row r="35" spans="1:11" ht="18" customHeight="1" x14ac:dyDescent="0.25">
      <c r="A35" s="51"/>
      <c r="B35" s="76" t="s">
        <v>76</v>
      </c>
      <c r="C35" s="76"/>
      <c r="D35" s="76"/>
      <c r="E35" s="76"/>
      <c r="F35" s="76"/>
      <c r="G35" s="76"/>
      <c r="H35" s="76"/>
      <c r="I35" s="76"/>
      <c r="J35" s="76"/>
      <c r="K35" s="76"/>
    </row>
  </sheetData>
  <mergeCells count="10">
    <mergeCell ref="B31:K31"/>
    <mergeCell ref="B32:K32"/>
    <mergeCell ref="B33:K33"/>
    <mergeCell ref="B34:K34"/>
    <mergeCell ref="B35:K35"/>
    <mergeCell ref="A1:K1"/>
    <mergeCell ref="A2:K2"/>
    <mergeCell ref="A14:G14"/>
    <mergeCell ref="A19:K19"/>
    <mergeCell ref="A30:K30"/>
  </mergeCells>
  <conditionalFormatting sqref="D4:G5 D7:G8 D10:G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I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1 I7:I8 I4:I5">
    <cfRule type="colorScale" priority="3">
      <colorScale>
        <cfvo type="num" val="0"/>
        <cfvo type="num" val="26"/>
        <color rgb="FF00B050"/>
        <color rgb="FF00B050"/>
      </colorScale>
    </cfRule>
  </conditionalFormatting>
  <conditionalFormatting sqref="J4:J5 J7:J8 J10:J11">
    <cfRule type="colorScale" priority="2">
      <colorScale>
        <cfvo type="num" val="0"/>
        <cfvo type="num" val="0"/>
        <color rgb="FFF83E3E"/>
        <color rgb="FFF83E3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5"/>
  <sheetViews>
    <sheetView zoomScaleNormal="100" workbookViewId="0">
      <selection activeCell="B17" sqref="B17"/>
    </sheetView>
  </sheetViews>
  <sheetFormatPr baseColWidth="10" defaultColWidth="8.7109375" defaultRowHeight="15" x14ac:dyDescent="0.25"/>
  <cols>
    <col min="1" max="1" width="4" customWidth="1"/>
    <col min="2" max="2" width="90" customWidth="1"/>
  </cols>
  <sheetData>
    <row r="1" spans="2:2" ht="18" customHeight="1" x14ac:dyDescent="0.25">
      <c r="B1" s="52" t="s">
        <v>77</v>
      </c>
    </row>
    <row r="2" spans="2:2" ht="18" customHeight="1" x14ac:dyDescent="0.25">
      <c r="B2" s="53"/>
    </row>
    <row r="3" spans="2:2" ht="18" customHeight="1" x14ac:dyDescent="0.25">
      <c r="B3" s="54" t="s">
        <v>78</v>
      </c>
    </row>
    <row r="4" spans="2:2" ht="18" customHeight="1" x14ac:dyDescent="0.25">
      <c r="B4" s="53" t="s">
        <v>79</v>
      </c>
    </row>
    <row r="5" spans="2:2" ht="18" customHeight="1" x14ac:dyDescent="0.25">
      <c r="B5" s="53" t="s">
        <v>80</v>
      </c>
    </row>
    <row r="6" spans="2:2" ht="18" customHeight="1" x14ac:dyDescent="0.25">
      <c r="B6" s="53" t="s">
        <v>81</v>
      </c>
    </row>
    <row r="7" spans="2:2" ht="18" customHeight="1" x14ac:dyDescent="0.25">
      <c r="B7" s="53"/>
    </row>
    <row r="8" spans="2:2" ht="18" customHeight="1" x14ac:dyDescent="0.25">
      <c r="B8" s="55" t="s">
        <v>82</v>
      </c>
    </row>
    <row r="9" spans="2:2" ht="18" customHeight="1" x14ac:dyDescent="0.25">
      <c r="B9" s="53" t="s">
        <v>83</v>
      </c>
    </row>
    <row r="10" spans="2:2" ht="18" customHeight="1" x14ac:dyDescent="0.25">
      <c r="B10" s="53" t="s">
        <v>84</v>
      </c>
    </row>
    <row r="11" spans="2:2" ht="18" customHeight="1" x14ac:dyDescent="0.25">
      <c r="B11" s="53" t="s">
        <v>85</v>
      </c>
    </row>
    <row r="12" spans="2:2" ht="18" customHeight="1" x14ac:dyDescent="0.25">
      <c r="B12" s="53" t="s">
        <v>86</v>
      </c>
    </row>
    <row r="13" spans="2:2" ht="18" customHeight="1" x14ac:dyDescent="0.25">
      <c r="B13" s="53" t="s">
        <v>87</v>
      </c>
    </row>
    <row r="14" spans="2:2" ht="18" customHeight="1" x14ac:dyDescent="0.25">
      <c r="B14" s="53" t="s">
        <v>88</v>
      </c>
    </row>
    <row r="15" spans="2:2" ht="18" customHeight="1" x14ac:dyDescent="0.25">
      <c r="B15" s="53" t="s">
        <v>89</v>
      </c>
    </row>
  </sheetData>
  <pageMargins left="0.75" right="0.75" top="1" bottom="1" header="0.511811023622047" footer="0.51180555555555596"/>
  <pageSetup paperSize="9" orientation="portrait" horizontalDpi="300" verticalDpi="300"/>
  <headerFooter>
    <oddFooter>&amp;C&amp;"Verdana,Regular"&amp;7 _x005F_x000d_#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Rådata</vt:lpstr>
      <vt:lpstr>Analyse og resultater</vt:lpstr>
      <vt:lpstr>Instruksjoner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Ahmad Rezaie</cp:lastModifiedBy>
  <cp:revision>0</cp:revision>
  <dcterms:created xsi:type="dcterms:W3CDTF">2026-05-11T16:40:12Z</dcterms:created>
  <dcterms:modified xsi:type="dcterms:W3CDTF">2026-05-12T11:35:40Z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ea7001-5c24-4702-a3ac-e436ccb02747_ActionId">
    <vt:lpwstr>68e42d3c-4353-4616-9d0a-60ab0f8583cb</vt:lpwstr>
  </property>
  <property fmtid="{D5CDD505-2E9C-101B-9397-08002B2CF9AE}" pid="3" name="MSIP_Label_20ea7001-5c24-4702-a3ac-e436ccb02747_ContentBits">
    <vt:lpwstr>2</vt:lpwstr>
  </property>
  <property fmtid="{D5CDD505-2E9C-101B-9397-08002B2CF9AE}" pid="4" name="MSIP_Label_20ea7001-5c24-4702-a3ac-e436ccb02747_Enabled">
    <vt:lpwstr>true</vt:lpwstr>
  </property>
  <property fmtid="{D5CDD505-2E9C-101B-9397-08002B2CF9AE}" pid="5" name="MSIP_Label_20ea7001-5c24-4702-a3ac-e436ccb02747_Method">
    <vt:lpwstr>Standard</vt:lpwstr>
  </property>
  <property fmtid="{D5CDD505-2E9C-101B-9397-08002B2CF9AE}" pid="6" name="MSIP_Label_20ea7001-5c24-4702-a3ac-e436ccb02747_Name">
    <vt:lpwstr>Confidential</vt:lpwstr>
  </property>
  <property fmtid="{D5CDD505-2E9C-101B-9397-08002B2CF9AE}" pid="7" name="MSIP_Label_20ea7001-5c24-4702-a3ac-e436ccb02747_SetDate">
    <vt:lpwstr>2026-05-11T16:52:28Z</vt:lpwstr>
  </property>
  <property fmtid="{D5CDD505-2E9C-101B-9397-08002B2CF9AE}" pid="8" name="MSIP_Label_20ea7001-5c24-4702-a3ac-e436ccb02747_SiteId">
    <vt:lpwstr>c8823c91-be81-4f89-b024-6c3dd789c106</vt:lpwstr>
  </property>
  <property fmtid="{D5CDD505-2E9C-101B-9397-08002B2CF9AE}" pid="9" name="MSIP_Label_20ea7001-5c24-4702-a3ac-e436ccb02747_Tag">
    <vt:lpwstr>10, 3, 0, 1</vt:lpwstr>
  </property>
  <property fmtid="{D5CDD505-2E9C-101B-9397-08002B2CF9AE}" pid="10" name="Folder_Number">
    <vt:lpwstr/>
  </property>
  <property fmtid="{D5CDD505-2E9C-101B-9397-08002B2CF9AE}" pid="11" name="Folder_Code">
    <vt:lpwstr/>
  </property>
  <property fmtid="{D5CDD505-2E9C-101B-9397-08002B2CF9AE}" pid="12" name="Folder_Name">
    <vt:lpwstr/>
  </property>
  <property fmtid="{D5CDD505-2E9C-101B-9397-08002B2CF9AE}" pid="13" name="Folder_Description">
    <vt:lpwstr/>
  </property>
  <property fmtid="{D5CDD505-2E9C-101B-9397-08002B2CF9AE}" pid="14" name="/Folder_Name/">
    <vt:lpwstr/>
  </property>
  <property fmtid="{D5CDD505-2E9C-101B-9397-08002B2CF9AE}" pid="15" name="/Folder_Description/">
    <vt:lpwstr/>
  </property>
  <property fmtid="{D5CDD505-2E9C-101B-9397-08002B2CF9AE}" pid="16" name="Folder_Version">
    <vt:lpwstr/>
  </property>
  <property fmtid="{D5CDD505-2E9C-101B-9397-08002B2CF9AE}" pid="17" name="Folder_VersionSeq">
    <vt:lpwstr/>
  </property>
  <property fmtid="{D5CDD505-2E9C-101B-9397-08002B2CF9AE}" pid="18" name="Folder_Manager">
    <vt:lpwstr/>
  </property>
  <property fmtid="{D5CDD505-2E9C-101B-9397-08002B2CF9AE}" pid="19" name="Folder_ManagerDesc">
    <vt:lpwstr/>
  </property>
  <property fmtid="{D5CDD505-2E9C-101B-9397-08002B2CF9AE}" pid="20" name="Folder_Storage">
    <vt:lpwstr/>
  </property>
  <property fmtid="{D5CDD505-2E9C-101B-9397-08002B2CF9AE}" pid="21" name="Folder_StorageDesc">
    <vt:lpwstr/>
  </property>
  <property fmtid="{D5CDD505-2E9C-101B-9397-08002B2CF9AE}" pid="22" name="Folder_Creator">
    <vt:lpwstr/>
  </property>
  <property fmtid="{D5CDD505-2E9C-101B-9397-08002B2CF9AE}" pid="23" name="Folder_CreatorDesc">
    <vt:lpwstr/>
  </property>
  <property fmtid="{D5CDD505-2E9C-101B-9397-08002B2CF9AE}" pid="24" name="Folder_CreateDate">
    <vt:lpwstr/>
  </property>
  <property fmtid="{D5CDD505-2E9C-101B-9397-08002B2CF9AE}" pid="25" name="Folder_Updater">
    <vt:lpwstr/>
  </property>
  <property fmtid="{D5CDD505-2E9C-101B-9397-08002B2CF9AE}" pid="26" name="Folder_UpdaterDesc">
    <vt:lpwstr/>
  </property>
  <property fmtid="{D5CDD505-2E9C-101B-9397-08002B2CF9AE}" pid="27" name="Folder_UpdateDate">
    <vt:lpwstr/>
  </property>
  <property fmtid="{D5CDD505-2E9C-101B-9397-08002B2CF9AE}" pid="28" name="Document_Number">
    <vt:lpwstr/>
  </property>
  <property fmtid="{D5CDD505-2E9C-101B-9397-08002B2CF9AE}" pid="29" name="Document_Name">
    <vt:lpwstr/>
  </property>
  <property fmtid="{D5CDD505-2E9C-101B-9397-08002B2CF9AE}" pid="30" name="Document_FileName">
    <vt:lpwstr/>
  </property>
  <property fmtid="{D5CDD505-2E9C-101B-9397-08002B2CF9AE}" pid="31" name="Document_Version">
    <vt:lpwstr/>
  </property>
  <property fmtid="{D5CDD505-2E9C-101B-9397-08002B2CF9AE}" pid="32" name="Document_VersionSeq">
    <vt:lpwstr/>
  </property>
  <property fmtid="{D5CDD505-2E9C-101B-9397-08002B2CF9AE}" pid="33" name="Document_Creator">
    <vt:lpwstr/>
  </property>
  <property fmtid="{D5CDD505-2E9C-101B-9397-08002B2CF9AE}" pid="34" name="Document_CreatorDesc">
    <vt:lpwstr/>
  </property>
  <property fmtid="{D5CDD505-2E9C-101B-9397-08002B2CF9AE}" pid="35" name="Document_CreateDate">
    <vt:lpwstr/>
  </property>
  <property fmtid="{D5CDD505-2E9C-101B-9397-08002B2CF9AE}" pid="36" name="Document_Updater">
    <vt:lpwstr/>
  </property>
  <property fmtid="{D5CDD505-2E9C-101B-9397-08002B2CF9AE}" pid="37" name="Document_UpdaterDesc">
    <vt:lpwstr/>
  </property>
  <property fmtid="{D5CDD505-2E9C-101B-9397-08002B2CF9AE}" pid="38" name="Document_UpdateDate">
    <vt:lpwstr/>
  </property>
  <property fmtid="{D5CDD505-2E9C-101B-9397-08002B2CF9AE}" pid="39" name="Document_Size">
    <vt:lpwstr/>
  </property>
  <property fmtid="{D5CDD505-2E9C-101B-9397-08002B2CF9AE}" pid="40" name="Document_Storage">
    <vt:lpwstr/>
  </property>
  <property fmtid="{D5CDD505-2E9C-101B-9397-08002B2CF9AE}" pid="41" name="Document_StorageDesc">
    <vt:lpwstr/>
  </property>
  <property fmtid="{D5CDD505-2E9C-101B-9397-08002B2CF9AE}" pid="42" name="Document_Department">
    <vt:lpwstr/>
  </property>
  <property fmtid="{D5CDD505-2E9C-101B-9397-08002B2CF9AE}" pid="43" name="Document_DepartmentDesc">
    <vt:lpwstr/>
  </property>
</Properties>
</file>
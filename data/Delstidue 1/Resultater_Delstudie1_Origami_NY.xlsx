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ramboll-my.sharepoint.com/personal/ahmad_rezaie_ramboll_no/Documents/"/>
    </mc:Choice>
  </mc:AlternateContent>
  <xr:revisionPtr revIDLastSave="407" documentId="8_{8565D8CC-E97C-49AF-AA88-8F9D5EE4E15B}" xr6:coauthVersionLast="47" xr6:coauthVersionMax="47" xr10:uidLastSave="{8ACA5C39-F111-49E8-B64F-95246F9678D6}"/>
  <bookViews>
    <workbookView xWindow="28680" yWindow="-1965" windowWidth="29040" windowHeight="17520" tabRatio="500" activeTab="5" xr2:uid="{00000000-000D-0000-FFFF-FFFF00000000}"/>
  </bookViews>
  <sheets>
    <sheet name="Rådata" sheetId="1" r:id="rId1"/>
    <sheet name="Case 1" sheetId="5" r:id="rId2"/>
    <sheet name="Case 2" sheetId="6" r:id="rId3"/>
    <sheet name="Case 3" sheetId="7" r:id="rId4"/>
    <sheet name="Analyse og resultater " sheetId="4" r:id="rId5"/>
    <sheet name="Instruksjoner" sheetId="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" i="4" l="1"/>
  <c r="E3" i="4"/>
  <c r="F3" i="4"/>
  <c r="H3" i="4" s="1"/>
  <c r="G3" i="4"/>
  <c r="I3" i="4"/>
  <c r="J3" i="4"/>
  <c r="D4" i="4"/>
  <c r="E4" i="4"/>
  <c r="F4" i="4"/>
  <c r="G4" i="4"/>
  <c r="H4" i="4"/>
  <c r="I4" i="4"/>
  <c r="J4" i="4"/>
  <c r="D5" i="4"/>
  <c r="H5" i="4" s="1"/>
  <c r="E5" i="4"/>
  <c r="F5" i="4"/>
  <c r="G5" i="4"/>
  <c r="I5" i="4"/>
  <c r="J5" i="4"/>
  <c r="D6" i="4"/>
  <c r="E6" i="4"/>
  <c r="F6" i="4"/>
  <c r="G6" i="4"/>
  <c r="H6" i="4"/>
  <c r="I6" i="4"/>
  <c r="J6" i="4"/>
  <c r="D7" i="4"/>
  <c r="H7" i="4" s="1"/>
  <c r="E7" i="4"/>
  <c r="F7" i="4"/>
  <c r="G7" i="4"/>
  <c r="I7" i="4"/>
  <c r="J7" i="4"/>
  <c r="D8" i="4"/>
  <c r="E8" i="4"/>
  <c r="F8" i="4"/>
  <c r="G8" i="4"/>
  <c r="H8" i="4"/>
  <c r="I8" i="4"/>
  <c r="J8" i="4"/>
  <c r="D9" i="4"/>
  <c r="E9" i="4"/>
  <c r="F9" i="4"/>
  <c r="G9" i="4"/>
  <c r="H9" i="4"/>
  <c r="I9" i="4"/>
  <c r="J9" i="4"/>
  <c r="D10" i="4"/>
  <c r="H10" i="4" s="1"/>
  <c r="E10" i="4"/>
  <c r="F10" i="4"/>
  <c r="G10" i="4"/>
  <c r="I10" i="4"/>
  <c r="J10" i="4"/>
  <c r="D12" i="4"/>
  <c r="E12" i="4"/>
  <c r="F12" i="4"/>
  <c r="G12" i="4"/>
  <c r="H12" i="4"/>
  <c r="I12" i="4"/>
  <c r="J12" i="4"/>
  <c r="D13" i="4"/>
  <c r="H13" i="4" s="1"/>
  <c r="E13" i="4"/>
  <c r="F13" i="4"/>
  <c r="G13" i="4"/>
  <c r="I13" i="4"/>
  <c r="J13" i="4"/>
  <c r="D14" i="4"/>
  <c r="E14" i="4"/>
  <c r="F14" i="4"/>
  <c r="G14" i="4"/>
  <c r="H14" i="4"/>
  <c r="I14" i="4"/>
  <c r="J14" i="4"/>
  <c r="D15" i="4"/>
  <c r="H15" i="4" s="1"/>
  <c r="E15" i="4"/>
  <c r="F15" i="4"/>
  <c r="G15" i="4"/>
  <c r="I15" i="4"/>
  <c r="J15" i="4"/>
  <c r="D16" i="4"/>
  <c r="E16" i="4"/>
  <c r="F16" i="4"/>
  <c r="G16" i="4"/>
  <c r="H16" i="4"/>
  <c r="I16" i="4"/>
  <c r="J16" i="4"/>
  <c r="D17" i="4"/>
  <c r="E17" i="4"/>
  <c r="F17" i="4"/>
  <c r="G17" i="4"/>
  <c r="H17" i="4"/>
  <c r="I17" i="4"/>
  <c r="J17" i="4"/>
  <c r="D18" i="4"/>
  <c r="H18" i="4" s="1"/>
  <c r="E18" i="4"/>
  <c r="F18" i="4"/>
  <c r="G18" i="4"/>
  <c r="I18" i="4"/>
  <c r="J18" i="4"/>
  <c r="D19" i="4"/>
  <c r="E19" i="4"/>
  <c r="F19" i="4"/>
  <c r="G19" i="4"/>
  <c r="H19" i="4"/>
  <c r="I19" i="4"/>
  <c r="J19" i="4"/>
  <c r="E21" i="4"/>
  <c r="F21" i="4"/>
  <c r="G21" i="4"/>
  <c r="E22" i="4"/>
  <c r="F22" i="4"/>
  <c r="G22" i="4"/>
  <c r="E23" i="4"/>
  <c r="F23" i="4"/>
  <c r="G23" i="4"/>
  <c r="E24" i="4"/>
  <c r="F24" i="4"/>
  <c r="G24" i="4"/>
  <c r="D25" i="4"/>
  <c r="H25" i="4" s="1"/>
  <c r="E25" i="4"/>
  <c r="F25" i="4"/>
  <c r="G25" i="4"/>
  <c r="I25" i="4"/>
  <c r="J25" i="4"/>
  <c r="D26" i="4"/>
  <c r="E26" i="4"/>
  <c r="F26" i="4"/>
  <c r="G26" i="4"/>
  <c r="H26" i="4"/>
  <c r="I26" i="4"/>
  <c r="J26" i="4"/>
  <c r="D27" i="4"/>
  <c r="E27" i="4"/>
  <c r="F27" i="4"/>
  <c r="G27" i="4"/>
  <c r="H27" i="4"/>
  <c r="I27" i="4"/>
  <c r="J27" i="4"/>
  <c r="D28" i="4"/>
  <c r="H28" i="4" s="1"/>
  <c r="E28" i="4"/>
  <c r="F28" i="4"/>
  <c r="G28" i="4"/>
  <c r="I28" i="4"/>
  <c r="J28" i="4"/>
  <c r="D16" i="1"/>
  <c r="D14" i="1"/>
  <c r="D13" i="1"/>
  <c r="I13" i="1"/>
  <c r="I16" i="1" s="1"/>
  <c r="H13" i="1"/>
  <c r="E39" i="1"/>
  <c r="E42" i="1" s="1"/>
  <c r="E26" i="1"/>
  <c r="E29" i="1" s="1"/>
  <c r="D26" i="1"/>
  <c r="F13" i="1"/>
  <c r="F16" i="1" s="1"/>
  <c r="K40" i="1"/>
  <c r="J40" i="1"/>
  <c r="I40" i="1"/>
  <c r="H40" i="1"/>
  <c r="G40" i="1"/>
  <c r="F40" i="1"/>
  <c r="E40" i="1"/>
  <c r="D40" i="1"/>
  <c r="J24" i="4" s="1"/>
  <c r="K39" i="1"/>
  <c r="K42" i="1" s="1"/>
  <c r="J39" i="1"/>
  <c r="J42" i="1" s="1"/>
  <c r="I39" i="1"/>
  <c r="H39" i="1"/>
  <c r="G39" i="1"/>
  <c r="G42" i="1" s="1"/>
  <c r="F39" i="1"/>
  <c r="F42" i="1" s="1"/>
  <c r="D39" i="1"/>
  <c r="D42" i="1" s="1"/>
  <c r="D23" i="4" s="1"/>
  <c r="H23" i="4" s="1"/>
  <c r="K27" i="1"/>
  <c r="J27" i="1"/>
  <c r="I27" i="1"/>
  <c r="H27" i="1"/>
  <c r="G27" i="1"/>
  <c r="F27" i="1"/>
  <c r="E27" i="1"/>
  <c r="D27" i="1"/>
  <c r="K26" i="1"/>
  <c r="K29" i="1" s="1"/>
  <c r="J26" i="1"/>
  <c r="J29" i="1" s="1"/>
  <c r="I26" i="1"/>
  <c r="I29" i="1" s="1"/>
  <c r="H26" i="1"/>
  <c r="G26" i="1"/>
  <c r="G29" i="1" s="1"/>
  <c r="F26" i="1"/>
  <c r="F29" i="1" s="1"/>
  <c r="K14" i="1"/>
  <c r="J14" i="1"/>
  <c r="I14" i="1"/>
  <c r="H14" i="1"/>
  <c r="G14" i="1"/>
  <c r="F14" i="1"/>
  <c r="E14" i="1"/>
  <c r="K13" i="1"/>
  <c r="K16" i="1" s="1"/>
  <c r="J13" i="1"/>
  <c r="J16" i="1" s="1"/>
  <c r="G13" i="1"/>
  <c r="G16" i="1" s="1"/>
  <c r="E13" i="1"/>
  <c r="E16" i="1" s="1"/>
  <c r="I24" i="4" l="1"/>
  <c r="I21" i="4"/>
  <c r="J23" i="4"/>
  <c r="D24" i="4"/>
  <c r="H24" i="4" s="1"/>
  <c r="I23" i="4"/>
  <c r="D22" i="4"/>
  <c r="H22" i="4" s="1"/>
  <c r="D21" i="4"/>
  <c r="H21" i="4" s="1"/>
  <c r="H32" i="4" s="1"/>
  <c r="J22" i="4"/>
  <c r="I22" i="4"/>
  <c r="J21" i="4"/>
  <c r="H33" i="4"/>
  <c r="H16" i="1"/>
  <c r="H42" i="1"/>
  <c r="I42" i="1"/>
  <c r="D29" i="1"/>
  <c r="H29" i="1"/>
</calcChain>
</file>

<file path=xl/sharedStrings.xml><?xml version="1.0" encoding="utf-8"?>
<sst xmlns="http://schemas.openxmlformats.org/spreadsheetml/2006/main" count="399" uniqueCount="67">
  <si>
    <t>Resultater Delstudie 1 – Origami | Rådata (J = Ja/korrekt, N = Nei/feil)</t>
  </si>
  <si>
    <t>J = Ja, korrekt</t>
  </si>
  <si>
    <t>N = Nei, feil</t>
  </si>
  <si>
    <t>Modell 1 Zero-shot</t>
  </si>
  <si>
    <t>kjøring 1</t>
  </si>
  <si>
    <t>kjøring 2</t>
  </si>
  <si>
    <t>kjøring 3</t>
  </si>
  <si>
    <t>kjøring 4</t>
  </si>
  <si>
    <t>── Case 1 ──</t>
  </si>
  <si>
    <t>§11-2</t>
  </si>
  <si>
    <t>1</t>
  </si>
  <si>
    <t>Risikoklasse</t>
  </si>
  <si>
    <t>§11-3</t>
  </si>
  <si>
    <t>2</t>
  </si>
  <si>
    <t>Brannklasse</t>
  </si>
  <si>
    <t>§11-4</t>
  </si>
  <si>
    <t>3</t>
  </si>
  <si>
    <t>Bærende Hovedsystem</t>
  </si>
  <si>
    <t>4</t>
  </si>
  <si>
    <t>Sekundære bærende bygningsdeler, etasjeskillere og takkonstruksjoner som ikke er del av hovedbæresystem eller stabiliserende</t>
  </si>
  <si>
    <t>5</t>
  </si>
  <si>
    <t>Trappeløp</t>
  </si>
  <si>
    <t>6</t>
  </si>
  <si>
    <t>Bærende bygningsdeler under øverste kjeller</t>
  </si>
  <si>
    <t>7</t>
  </si>
  <si>
    <t>Utvendig trappeløp, beskyttet mot flammepåvirkning og strålevarme</t>
  </si>
  <si>
    <t>Summer J (korrekt)</t>
  </si>
  <si>
    <t>Summer N (feil)</t>
  </si>
  <si>
    <t>Totalt felt (ekskl. begr.)</t>
  </si>
  <si>
    <t>Precision %</t>
  </si>
  <si>
    <t>── Case 2 ──</t>
  </si>
  <si>
    <t>── Case 3 ──</t>
  </si>
  <si>
    <t>Instruksjoner for utfylling</t>
  </si>
  <si>
    <t>1. Gå til fanen «Rådata»</t>
  </si>
  <si>
    <t>2. Fyll inn J (korrekt) eller N (feil) i de gule inputcellene for hver kjøring</t>
  </si>
  <si>
    <t>4. Precision % beregnes automatisk per kjøring og modell basert på COUNTIF-formler</t>
  </si>
  <si>
    <t>5. Gå til fanen «Analyse og resultater» for å se gjennomsnittlig Precision per case, modell og samlet</t>
  </si>
  <si>
    <t>§11-2: Risikoklasse (prompt 1)</t>
  </si>
  <si>
    <t>§11-3: Brannklasse (prompt 2)</t>
  </si>
  <si>
    <t>§11-4: Bærende Hovedsystem (prompt 3)</t>
  </si>
  <si>
    <t>§11-4: Sekundære bærende bygningsdeler mv. (prompt 4)</t>
  </si>
  <si>
    <t>§11-4: Trappeløp (prompt 5)</t>
  </si>
  <si>
    <t>§11-4: Bærende bygningsdeler under øverste kjeller (prompt 6)</t>
  </si>
  <si>
    <t>§11-4: Utvendig trappeløp, beskyttet mot flammepåvirkning og strålevarme (prompt 7)</t>
  </si>
  <si>
    <t>J</t>
  </si>
  <si>
    <t>N</t>
  </si>
  <si>
    <t>Paragraf</t>
  </si>
  <si>
    <t>Paragraf navn</t>
  </si>
  <si>
    <t>Modell 2 Few-shot</t>
  </si>
  <si>
    <t>Prompt nr.</t>
  </si>
  <si>
    <t>Modell 1 Few-shot</t>
  </si>
  <si>
    <t>Samlet gjennomsnitt per modell</t>
  </si>
  <si>
    <t>Case 3</t>
  </si>
  <si>
    <t>Case 2</t>
  </si>
  <si>
    <t>Case 1</t>
  </si>
  <si>
    <t>Evaluerbare felt</t>
  </si>
  <si>
    <t>Antall N totalt</t>
  </si>
  <si>
    <t>Antall J totalt</t>
  </si>
  <si>
    <t>Gj.snitt Precision</t>
  </si>
  <si>
    <t>Kjøring 4</t>
  </si>
  <si>
    <t>Kjøring 3</t>
  </si>
  <si>
    <t>Kjøring 2</t>
  </si>
  <si>
    <t>Kjøring 1</t>
  </si>
  <si>
    <t>Modell</t>
  </si>
  <si>
    <t>Case</t>
  </si>
  <si>
    <t>Analyse – Delstudie 1: Origami | Precision per case og modell</t>
  </si>
  <si>
    <t>Feltstruktur per case (7):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</si>
</sst>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\ %"/>
  </numFmts>
  <fonts count="14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10"/>
      <color rgb="FF000000"/>
      <name val="Arial"/>
      <family val="2"/>
    </font>
    <font>
      <b/>
      <sz val="10"/>
      <color rgb="FF7030A0"/>
      <name val="Arial"/>
      <family val="2"/>
    </font>
    <font>
      <b/>
      <sz val="10"/>
      <color rgb="FFFFFFFF"/>
      <name val="Arial"/>
      <family val="2"/>
    </font>
    <font>
      <b/>
      <sz val="9"/>
      <color rgb="FF1F3864"/>
      <name val="Arial"/>
      <family val="2"/>
    </font>
    <font>
      <b/>
      <sz val="9"/>
      <color rgb="FF7F2E00"/>
      <name val="Arial"/>
      <family val="2"/>
    </font>
    <font>
      <sz val="10"/>
      <color rgb="FF000000"/>
      <name val="Arial"/>
      <family val="2"/>
    </font>
    <font>
      <b/>
      <sz val="10"/>
      <color rgb="FF375623"/>
      <name val="Arial"/>
      <family val="2"/>
    </font>
    <font>
      <b/>
      <sz val="10"/>
      <color rgb="FF00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name val="Calibri"/>
      <family val="2"/>
      <charset val="1"/>
    </font>
    <font>
      <sz val="11"/>
      <color theme="1"/>
      <name val="Calibri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C6EFCE"/>
        <bgColor rgb="FFD6E4F0"/>
      </patternFill>
    </fill>
    <fill>
      <patternFill patternType="solid">
        <fgColor rgb="FFFFC7CE"/>
        <bgColor rgb="FFFDE8D8"/>
      </patternFill>
    </fill>
    <fill>
      <patternFill patternType="solid">
        <fgColor rgb="FF2E75B6"/>
        <bgColor rgb="FF0066CC"/>
      </patternFill>
    </fill>
    <fill>
      <patternFill patternType="solid">
        <fgColor rgb="FFC55A11"/>
        <bgColor rgb="FF993366"/>
      </patternFill>
    </fill>
    <fill>
      <patternFill patternType="solid">
        <fgColor rgb="FFD6E4F0"/>
        <bgColor rgb="FFC6EFCE"/>
      </patternFill>
    </fill>
    <fill>
      <patternFill patternType="solid">
        <fgColor rgb="FFFDE8D8"/>
        <bgColor rgb="FFF2F2F2"/>
      </patternFill>
    </fill>
    <fill>
      <patternFill patternType="solid">
        <fgColor rgb="FFEAF4FB"/>
        <bgColor rgb="FFF2F2F2"/>
      </patternFill>
    </fill>
    <fill>
      <patternFill patternType="solid">
        <fgColor rgb="FFFFE699"/>
        <bgColor rgb="FFFDE8D8"/>
      </patternFill>
    </fill>
    <fill>
      <patternFill patternType="solid">
        <fgColor rgb="FFF2F2F2"/>
        <bgColor rgb="FFEAF4FB"/>
      </patternFill>
    </fill>
    <fill>
      <patternFill patternType="solid">
        <fgColor rgb="FFFFFFFF"/>
        <bgColor rgb="FFF2F2F2"/>
      </patternFill>
    </fill>
    <fill>
      <patternFill patternType="solid">
        <fgColor rgb="FFBDD7EE"/>
        <bgColor rgb="FFD6E4F0"/>
      </patternFill>
    </fill>
    <fill>
      <patternFill patternType="solid">
        <fgColor theme="0" tint="-4.9989318521683403E-2"/>
        <bgColor indexed="64"/>
      </patternFill>
    </fill>
  </fills>
  <borders count="28">
    <border>
      <left/>
      <right/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BFBFBF"/>
      </bottom>
      <diagonal/>
    </border>
    <border>
      <left style="thin">
        <color rgb="FFBFBFBF"/>
      </left>
      <right style="thin">
        <color indexed="64"/>
      </right>
      <top/>
      <bottom style="thin">
        <color rgb="FFBFBFBF"/>
      </bottom>
      <diagonal/>
    </border>
    <border>
      <left style="thin">
        <color rgb="FFBFBFBF"/>
      </left>
      <right style="thin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medium">
        <color auto="1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/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auto="1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auto="1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/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3" fillId="0" borderId="0" applyFont="0" applyFill="0" applyBorder="0" applyAlignment="0" applyProtection="0"/>
  </cellStyleXfs>
  <cellXfs count="105">
    <xf numFmtId="0" fontId="0" fillId="0" borderId="0" xfId="0"/>
    <xf numFmtId="0" fontId="4" fillId="2" borderId="3" xfId="0" applyFont="1" applyFill="1" applyBorder="1" applyAlignment="1">
      <alignment horizontal="left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6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 wrapText="1"/>
    </xf>
    <xf numFmtId="164" fontId="8" fillId="10" borderId="3" xfId="0" applyNumberFormat="1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7" fillId="11" borderId="3" xfId="0" applyFont="1" applyFill="1" applyBorder="1" applyAlignment="1">
      <alignment horizontal="center" vertical="center" wrapText="1"/>
    </xf>
    <xf numFmtId="0" fontId="7" fillId="12" borderId="0" xfId="0" applyFont="1" applyFill="1" applyAlignment="1">
      <alignment horizontal="left" vertical="center" wrapText="1"/>
    </xf>
    <xf numFmtId="0" fontId="2" fillId="12" borderId="0" xfId="0" applyFont="1" applyFill="1" applyAlignment="1">
      <alignment horizontal="left" vertical="center" wrapText="1"/>
    </xf>
    <xf numFmtId="0" fontId="2" fillId="13" borderId="3" xfId="0" applyFont="1" applyFill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7" fillId="9" borderId="4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0" fillId="0" borderId="5" xfId="0" applyBorder="1"/>
    <xf numFmtId="0" fontId="5" fillId="7" borderId="6" xfId="0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3" fillId="10" borderId="6" xfId="0" applyFont="1" applyFill="1" applyBorder="1" applyAlignment="1">
      <alignment horizontal="center" vertical="center" wrapText="1"/>
    </xf>
    <xf numFmtId="164" fontId="8" fillId="10" borderId="6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10" fillId="14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vertical="center" wrapText="1"/>
    </xf>
    <xf numFmtId="0" fontId="0" fillId="0" borderId="8" xfId="0" applyBorder="1"/>
    <xf numFmtId="0" fontId="10" fillId="14" borderId="8" xfId="0" applyFont="1" applyFill="1" applyBorder="1" applyAlignment="1">
      <alignment horizontal="center" vertical="center"/>
    </xf>
    <xf numFmtId="0" fontId="7" fillId="9" borderId="9" xfId="0" applyFont="1" applyFill="1" applyBorder="1" applyAlignment="1">
      <alignment horizontal="left" vertical="center" wrapText="1"/>
    </xf>
    <xf numFmtId="0" fontId="7" fillId="9" borderId="10" xfId="0" applyFont="1" applyFill="1" applyBorder="1" applyAlignment="1">
      <alignment horizontal="left" vertical="center" wrapText="1"/>
    </xf>
    <xf numFmtId="0" fontId="7" fillId="11" borderId="10" xfId="0" applyFont="1" applyFill="1" applyBorder="1" applyAlignment="1">
      <alignment horizontal="left" vertical="center" wrapText="1"/>
    </xf>
    <xf numFmtId="0" fontId="0" fillId="0" borderId="7" xfId="0" applyBorder="1"/>
    <xf numFmtId="0" fontId="1" fillId="0" borderId="0" xfId="0" applyFont="1" applyAlignment="1">
      <alignment vertical="center" wrapText="1"/>
    </xf>
    <xf numFmtId="164" fontId="2" fillId="10" borderId="11" xfId="0" applyNumberFormat="1" applyFont="1" applyFill="1" applyBorder="1" applyAlignment="1">
      <alignment horizontal="center" vertical="center" wrapText="1"/>
    </xf>
    <xf numFmtId="0" fontId="2" fillId="8" borderId="11" xfId="0" applyFont="1" applyFill="1" applyBorder="1" applyAlignment="1">
      <alignment horizontal="left" vertical="center" wrapText="1"/>
    </xf>
    <xf numFmtId="0" fontId="0" fillId="11" borderId="2" xfId="0" applyFill="1" applyBorder="1"/>
    <xf numFmtId="0" fontId="0" fillId="11" borderId="3" xfId="0" applyFill="1" applyBorder="1"/>
    <xf numFmtId="164" fontId="2" fillId="10" borderId="12" xfId="0" applyNumberFormat="1" applyFont="1" applyFill="1" applyBorder="1" applyAlignment="1">
      <alignment horizontal="center" vertical="center" wrapText="1"/>
    </xf>
    <xf numFmtId="0" fontId="2" fillId="7" borderId="12" xfId="0" applyFont="1" applyFill="1" applyBorder="1" applyAlignment="1">
      <alignment horizontal="left" vertical="center" wrapText="1"/>
    </xf>
    <xf numFmtId="0" fontId="3" fillId="10" borderId="14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164" fontId="11" fillId="10" borderId="16" xfId="0" applyNumberFormat="1" applyFont="1" applyFill="1" applyBorder="1" applyAlignment="1">
      <alignment horizontal="center" vertical="center" wrapText="1"/>
    </xf>
    <xf numFmtId="164" fontId="11" fillId="8" borderId="14" xfId="0" applyNumberFormat="1" applyFont="1" applyFill="1" applyBorder="1" applyAlignment="1">
      <alignment horizontal="center" vertical="center" wrapText="1"/>
    </xf>
    <xf numFmtId="164" fontId="11" fillId="8" borderId="15" xfId="0" applyNumberFormat="1" applyFont="1" applyFill="1" applyBorder="1" applyAlignment="1">
      <alignment horizontal="center" vertical="center" wrapText="1"/>
    </xf>
    <xf numFmtId="0" fontId="2" fillId="8" borderId="15" xfId="0" applyFont="1" applyFill="1" applyBorder="1" applyAlignment="1">
      <alignment horizontal="left" vertical="center" wrapText="1"/>
    </xf>
    <xf numFmtId="0" fontId="7" fillId="11" borderId="17" xfId="0" applyFont="1" applyFill="1" applyBorder="1" applyAlignment="1">
      <alignment horizontal="center" vertical="center" wrapText="1"/>
    </xf>
    <xf numFmtId="0" fontId="3" fillId="10" borderId="18" xfId="0" applyFont="1" applyFill="1" applyBorder="1" applyAlignment="1">
      <alignment horizontal="center" vertical="center" wrapText="1"/>
    </xf>
    <xf numFmtId="164" fontId="11" fillId="10" borderId="6" xfId="0" applyNumberFormat="1" applyFont="1" applyFill="1" applyBorder="1" applyAlignment="1">
      <alignment horizontal="center" vertical="center" wrapText="1"/>
    </xf>
    <xf numFmtId="164" fontId="11" fillId="8" borderId="18" xfId="0" applyNumberFormat="1" applyFont="1" applyFill="1" applyBorder="1" applyAlignment="1">
      <alignment horizontal="center" vertical="center" wrapText="1"/>
    </xf>
    <xf numFmtId="164" fontId="11" fillId="8" borderId="3" xfId="0" applyNumberFormat="1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7" fillId="11" borderId="19" xfId="0" applyFont="1" applyFill="1" applyBorder="1" applyAlignment="1">
      <alignment horizontal="center" vertical="center" wrapText="1"/>
    </xf>
    <xf numFmtId="0" fontId="3" fillId="10" borderId="20" xfId="0" applyFont="1" applyFill="1" applyBorder="1" applyAlignment="1">
      <alignment horizontal="center" vertical="center" wrapText="1"/>
    </xf>
    <xf numFmtId="0" fontId="2" fillId="4" borderId="21" xfId="0" applyFont="1" applyFill="1" applyBorder="1" applyAlignment="1">
      <alignment horizontal="center" vertical="center" wrapText="1"/>
    </xf>
    <xf numFmtId="0" fontId="2" fillId="3" borderId="21" xfId="0" applyFont="1" applyFill="1" applyBorder="1" applyAlignment="1">
      <alignment horizontal="center" vertical="center" wrapText="1"/>
    </xf>
    <xf numFmtId="164" fontId="11" fillId="10" borderId="22" xfId="0" applyNumberFormat="1" applyFont="1" applyFill="1" applyBorder="1" applyAlignment="1">
      <alignment horizontal="center" vertical="center" wrapText="1"/>
    </xf>
    <xf numFmtId="164" fontId="11" fillId="8" borderId="20" xfId="0" applyNumberFormat="1" applyFont="1" applyFill="1" applyBorder="1" applyAlignment="1">
      <alignment horizontal="center" vertical="center" wrapText="1"/>
    </xf>
    <xf numFmtId="164" fontId="11" fillId="8" borderId="21" xfId="0" applyNumberFormat="1" applyFont="1" applyFill="1" applyBorder="1" applyAlignment="1">
      <alignment horizontal="center" vertical="center" wrapText="1"/>
    </xf>
    <xf numFmtId="0" fontId="2" fillId="8" borderId="21" xfId="0" applyFont="1" applyFill="1" applyBorder="1" applyAlignment="1">
      <alignment horizontal="left" vertical="center" wrapText="1"/>
    </xf>
    <xf numFmtId="0" fontId="7" fillId="11" borderId="23" xfId="0" applyFont="1" applyFill="1" applyBorder="1" applyAlignment="1">
      <alignment horizontal="center" vertical="center" wrapText="1"/>
    </xf>
    <xf numFmtId="164" fontId="11" fillId="7" borderId="14" xfId="0" applyNumberFormat="1" applyFont="1" applyFill="1" applyBorder="1" applyAlignment="1">
      <alignment horizontal="center" vertical="center" wrapText="1"/>
    </xf>
    <xf numFmtId="164" fontId="11" fillId="7" borderId="15" xfId="0" applyNumberFormat="1" applyFont="1" applyFill="1" applyBorder="1" applyAlignment="1">
      <alignment horizontal="center" vertical="center" wrapText="1"/>
    </xf>
    <xf numFmtId="0" fontId="2" fillId="7" borderId="15" xfId="0" applyFont="1" applyFill="1" applyBorder="1" applyAlignment="1">
      <alignment horizontal="left" vertical="center" wrapText="1"/>
    </xf>
    <xf numFmtId="0" fontId="7" fillId="12" borderId="17" xfId="0" applyFont="1" applyFill="1" applyBorder="1" applyAlignment="1">
      <alignment horizontal="center" vertical="center" wrapText="1"/>
    </xf>
    <xf numFmtId="0" fontId="0" fillId="12" borderId="2" xfId="0" applyFill="1" applyBorder="1"/>
    <xf numFmtId="164" fontId="11" fillId="7" borderId="18" xfId="0" applyNumberFormat="1" applyFont="1" applyFill="1" applyBorder="1" applyAlignment="1">
      <alignment horizontal="center" vertical="center" wrapText="1"/>
    </xf>
    <xf numFmtId="164" fontId="11" fillId="7" borderId="3" xfId="0" applyNumberFormat="1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left" vertical="center" wrapText="1"/>
    </xf>
    <xf numFmtId="0" fontId="7" fillId="12" borderId="19" xfId="0" applyFont="1" applyFill="1" applyBorder="1" applyAlignment="1">
      <alignment horizontal="center" vertical="center" wrapText="1"/>
    </xf>
    <xf numFmtId="164" fontId="11" fillId="7" borderId="20" xfId="0" applyNumberFormat="1" applyFont="1" applyFill="1" applyBorder="1" applyAlignment="1">
      <alignment horizontal="center" vertical="center" wrapText="1"/>
    </xf>
    <xf numFmtId="164" fontId="11" fillId="7" borderId="21" xfId="0" applyNumberFormat="1" applyFont="1" applyFill="1" applyBorder="1" applyAlignment="1">
      <alignment horizontal="center" vertical="center" wrapText="1"/>
    </xf>
    <xf numFmtId="0" fontId="2" fillId="7" borderId="21" xfId="0" applyFont="1" applyFill="1" applyBorder="1" applyAlignment="1">
      <alignment horizontal="left" vertical="center" wrapText="1"/>
    </xf>
    <xf numFmtId="0" fontId="7" fillId="12" borderId="23" xfId="0" applyFont="1" applyFill="1" applyBorder="1" applyAlignment="1">
      <alignment horizontal="center" vertical="center" wrapText="1"/>
    </xf>
    <xf numFmtId="0" fontId="12" fillId="0" borderId="0" xfId="0" applyFont="1"/>
    <xf numFmtId="0" fontId="12" fillId="0" borderId="24" xfId="0" applyFont="1" applyBorder="1"/>
    <xf numFmtId="0" fontId="4" fillId="5" borderId="1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165" fontId="0" fillId="0" borderId="0" xfId="1" applyNumberFormat="1" applyFont="1"/>
    <xf numFmtId="0" fontId="10" fillId="0" borderId="25" xfId="0" applyFont="1" applyBorder="1"/>
    <xf numFmtId="0" fontId="0" fillId="0" borderId="25" xfId="0" applyBorder="1"/>
    <xf numFmtId="0" fontId="10" fillId="0" borderId="26" xfId="0" applyFont="1" applyBorder="1" applyAlignment="1">
      <alignment horizontal="center" wrapText="1"/>
    </xf>
    <xf numFmtId="0" fontId="10" fillId="0" borderId="27" xfId="0" applyFont="1" applyBorder="1"/>
    <xf numFmtId="0" fontId="10" fillId="0" borderId="26" xfId="0" applyFont="1" applyBorder="1"/>
    <xf numFmtId="0" fontId="0" fillId="0" borderId="26" xfId="0" applyBorder="1"/>
    <xf numFmtId="0" fontId="0" fillId="0" borderId="0" xfId="0" applyAlignment="1">
      <alignment horizontal="left"/>
    </xf>
    <xf numFmtId="0" fontId="4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left" vertical="center" wrapText="1"/>
    </xf>
    <xf numFmtId="0" fontId="2" fillId="10" borderId="3" xfId="0" applyFont="1" applyFill="1" applyBorder="1" applyAlignment="1">
      <alignment horizontal="left" vertical="center" wrapText="1"/>
    </xf>
    <xf numFmtId="0" fontId="10" fillId="0" borderId="25" xfId="0" applyFont="1" applyBorder="1" applyAlignment="1">
      <alignment horizont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</cellXfs>
  <cellStyles count="2">
    <cellStyle name="Normal" xfId="0" builtinId="0"/>
    <cellStyle name="Pros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2F2F2"/>
      <rgbColor rgb="FFEAF4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C6EFCE"/>
      <rgbColor rgb="FFFFE699"/>
      <rgbColor rgb="FFF4E6FF"/>
      <rgbColor rgb="FFFDE8D8"/>
      <rgbColor rgb="FFCC99FF"/>
      <rgbColor rgb="FFFFC7CE"/>
      <rgbColor rgb="FF2E75B6"/>
      <rgbColor rgb="FF33CCCC"/>
      <rgbColor rgb="FF99CC00"/>
      <rgbColor rgb="FFFFCC00"/>
      <rgbColor rgb="FFFF9900"/>
      <rgbColor rgb="FFC55A11"/>
      <rgbColor rgb="FF666699"/>
      <rgbColor rgb="FF969696"/>
      <rgbColor rgb="FF1F3864"/>
      <rgbColor rgb="FF339966"/>
      <rgbColor rgb="FF003300"/>
      <rgbColor rgb="FF333300"/>
      <rgbColor rgb="FF7F2E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'Case 1'!$C$3</c:f>
              <c:strCache>
                <c:ptCount val="1"/>
                <c:pt idx="0">
                  <c:v>Summer J (korrekt)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multiLvlStrRef>
              <c:f>'Case 1'!$D$1:$K$2</c:f>
              <c:multiLvlStrCache>
                <c:ptCount val="8"/>
                <c:lvl>
                  <c:pt idx="0">
                    <c:v>kjøring 1</c:v>
                  </c:pt>
                  <c:pt idx="1">
                    <c:v>kjøring 2</c:v>
                  </c:pt>
                  <c:pt idx="2">
                    <c:v>kjøring 3</c:v>
                  </c:pt>
                  <c:pt idx="3">
                    <c:v>kjøring 4</c:v>
                  </c:pt>
                  <c:pt idx="4">
                    <c:v>kjøring 1</c:v>
                  </c:pt>
                  <c:pt idx="5">
                    <c:v>kjøring 2</c:v>
                  </c:pt>
                  <c:pt idx="6">
                    <c:v>kjøring 3</c:v>
                  </c:pt>
                  <c:pt idx="7">
                    <c:v>kjøring 4</c:v>
                  </c:pt>
                </c:lvl>
                <c:lvl>
                  <c:pt idx="0">
                    <c:v>Modell 1 Zero-shot</c:v>
                  </c:pt>
                  <c:pt idx="4">
                    <c:v>Modell 2 Few-shot</c:v>
                  </c:pt>
                </c:lvl>
              </c:multiLvlStrCache>
            </c:multiLvlStrRef>
          </c:cat>
          <c:val>
            <c:numRef>
              <c:f>'Case 1'!$D$3:$K$3</c:f>
              <c:numCache>
                <c:formatCode>General</c:formatCode>
                <c:ptCount val="8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6</c:v>
                </c:pt>
                <c:pt idx="5">
                  <c:v>5</c:v>
                </c:pt>
                <c:pt idx="6">
                  <c:v>7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5A-4B50-9A1D-EC2988FD781F}"/>
            </c:ext>
          </c:extLst>
        </c:ser>
        <c:ser>
          <c:idx val="1"/>
          <c:order val="1"/>
          <c:tx>
            <c:strRef>
              <c:f>'Case 1'!$C$4</c:f>
              <c:strCache>
                <c:ptCount val="1"/>
                <c:pt idx="0">
                  <c:v>Summer N (feil)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'Case 1'!$D$1:$K$2</c:f>
              <c:multiLvlStrCache>
                <c:ptCount val="8"/>
                <c:lvl>
                  <c:pt idx="0">
                    <c:v>kjøring 1</c:v>
                  </c:pt>
                  <c:pt idx="1">
                    <c:v>kjøring 2</c:v>
                  </c:pt>
                  <c:pt idx="2">
                    <c:v>kjøring 3</c:v>
                  </c:pt>
                  <c:pt idx="3">
                    <c:v>kjøring 4</c:v>
                  </c:pt>
                  <c:pt idx="4">
                    <c:v>kjøring 1</c:v>
                  </c:pt>
                  <c:pt idx="5">
                    <c:v>kjøring 2</c:v>
                  </c:pt>
                  <c:pt idx="6">
                    <c:v>kjøring 3</c:v>
                  </c:pt>
                  <c:pt idx="7">
                    <c:v>kjøring 4</c:v>
                  </c:pt>
                </c:lvl>
                <c:lvl>
                  <c:pt idx="0">
                    <c:v>Modell 1 Zero-shot</c:v>
                  </c:pt>
                  <c:pt idx="4">
                    <c:v>Modell 2 Few-shot</c:v>
                  </c:pt>
                </c:lvl>
              </c:multiLvlStrCache>
            </c:multiLvlStrRef>
          </c:cat>
          <c:val>
            <c:numRef>
              <c:f>'Case 1'!$D$4:$K$4</c:f>
              <c:numCache>
                <c:formatCode>General</c:formatCode>
                <c:ptCount val="8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1</c:v>
                </c:pt>
                <c:pt idx="5">
                  <c:v>2</c:v>
                </c:pt>
                <c:pt idx="6">
                  <c:v>0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5A-4B50-9A1D-EC2988FD78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49071176"/>
        <c:axId val="1049070456"/>
      </c:barChart>
      <c:catAx>
        <c:axId val="1049071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049070456"/>
        <c:crosses val="autoZero"/>
        <c:auto val="1"/>
        <c:lblAlgn val="ctr"/>
        <c:lblOffset val="100"/>
        <c:noMultiLvlLbl val="0"/>
      </c:catAx>
      <c:valAx>
        <c:axId val="1049070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049071176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'Case 2'!$F$6</c:f>
              <c:strCache>
                <c:ptCount val="1"/>
                <c:pt idx="0">
                  <c:v>Summer J (korrekt)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'Case 2'!$G$4:$N$5</c:f>
              <c:multiLvlStrCache>
                <c:ptCount val="8"/>
                <c:lvl>
                  <c:pt idx="0">
                    <c:v>kjøring 1</c:v>
                  </c:pt>
                  <c:pt idx="1">
                    <c:v>kjøring 2</c:v>
                  </c:pt>
                  <c:pt idx="2">
                    <c:v>kjøring 3</c:v>
                  </c:pt>
                  <c:pt idx="3">
                    <c:v>kjøring 4</c:v>
                  </c:pt>
                  <c:pt idx="4">
                    <c:v>kjøring 1</c:v>
                  </c:pt>
                  <c:pt idx="5">
                    <c:v>kjøring 2</c:v>
                  </c:pt>
                  <c:pt idx="6">
                    <c:v>kjøring 3</c:v>
                  </c:pt>
                  <c:pt idx="7">
                    <c:v>kjøring 4</c:v>
                  </c:pt>
                </c:lvl>
                <c:lvl>
                  <c:pt idx="0">
                    <c:v>Modell 1 Zero-shot</c:v>
                  </c:pt>
                  <c:pt idx="4">
                    <c:v>Modell 2 Few-shot</c:v>
                  </c:pt>
                </c:lvl>
              </c:multiLvlStrCache>
            </c:multiLvlStrRef>
          </c:cat>
          <c:val>
            <c:numRef>
              <c:f>'Case 2'!$G$6:$N$6</c:f>
              <c:numCache>
                <c:formatCode>General</c:formatCode>
                <c:ptCount val="8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22-4FEF-B44B-5BBF27935E22}"/>
            </c:ext>
          </c:extLst>
        </c:ser>
        <c:ser>
          <c:idx val="1"/>
          <c:order val="1"/>
          <c:tx>
            <c:strRef>
              <c:f>'Case 2'!$F$7</c:f>
              <c:strCache>
                <c:ptCount val="1"/>
                <c:pt idx="0">
                  <c:v>Summer N (feil)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'Case 2'!$G$4:$N$5</c:f>
              <c:multiLvlStrCache>
                <c:ptCount val="8"/>
                <c:lvl>
                  <c:pt idx="0">
                    <c:v>kjøring 1</c:v>
                  </c:pt>
                  <c:pt idx="1">
                    <c:v>kjøring 2</c:v>
                  </c:pt>
                  <c:pt idx="2">
                    <c:v>kjøring 3</c:v>
                  </c:pt>
                  <c:pt idx="3">
                    <c:v>kjøring 4</c:v>
                  </c:pt>
                  <c:pt idx="4">
                    <c:v>kjøring 1</c:v>
                  </c:pt>
                  <c:pt idx="5">
                    <c:v>kjøring 2</c:v>
                  </c:pt>
                  <c:pt idx="6">
                    <c:v>kjøring 3</c:v>
                  </c:pt>
                  <c:pt idx="7">
                    <c:v>kjøring 4</c:v>
                  </c:pt>
                </c:lvl>
                <c:lvl>
                  <c:pt idx="0">
                    <c:v>Modell 1 Zero-shot</c:v>
                  </c:pt>
                  <c:pt idx="4">
                    <c:v>Modell 2 Few-shot</c:v>
                  </c:pt>
                </c:lvl>
              </c:multiLvlStrCache>
            </c:multiLvlStrRef>
          </c:cat>
          <c:val>
            <c:numRef>
              <c:f>'Case 2'!$G$7:$N$7</c:f>
              <c:numCache>
                <c:formatCode>General</c:formatCode>
                <c:ptCount val="8"/>
                <c:pt idx="0">
                  <c:v>4</c:v>
                </c:pt>
                <c:pt idx="1">
                  <c:v>4</c:v>
                </c:pt>
                <c:pt idx="2">
                  <c:v>5</c:v>
                </c:pt>
                <c:pt idx="3">
                  <c:v>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22-4FEF-B44B-5BBF27935E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48150680"/>
        <c:axId val="1048152120"/>
      </c:barChart>
      <c:catAx>
        <c:axId val="1048150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048152120"/>
        <c:crosses val="autoZero"/>
        <c:auto val="1"/>
        <c:lblAlgn val="ctr"/>
        <c:lblOffset val="100"/>
        <c:noMultiLvlLbl val="0"/>
      </c:catAx>
      <c:valAx>
        <c:axId val="1048152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048150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'Case 2'!$F$6</c:f>
              <c:strCache>
                <c:ptCount val="1"/>
                <c:pt idx="0">
                  <c:v>Summer J (korrekt)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multiLvlStrRef>
              <c:f>'Case 2'!$G$4:$N$5</c:f>
              <c:multiLvlStrCache>
                <c:ptCount val="8"/>
                <c:lvl>
                  <c:pt idx="0">
                    <c:v>kjøring 1</c:v>
                  </c:pt>
                  <c:pt idx="1">
                    <c:v>kjøring 2</c:v>
                  </c:pt>
                  <c:pt idx="2">
                    <c:v>kjøring 3</c:v>
                  </c:pt>
                  <c:pt idx="3">
                    <c:v>kjøring 4</c:v>
                  </c:pt>
                  <c:pt idx="4">
                    <c:v>kjøring 1</c:v>
                  </c:pt>
                  <c:pt idx="5">
                    <c:v>kjøring 2</c:v>
                  </c:pt>
                  <c:pt idx="6">
                    <c:v>kjøring 3</c:v>
                  </c:pt>
                  <c:pt idx="7">
                    <c:v>kjøring 4</c:v>
                  </c:pt>
                </c:lvl>
                <c:lvl>
                  <c:pt idx="0">
                    <c:v>Modell 1 Zero-shot</c:v>
                  </c:pt>
                  <c:pt idx="4">
                    <c:v>Modell 2 Few-shot</c:v>
                  </c:pt>
                </c:lvl>
              </c:multiLvlStrCache>
            </c:multiLvlStrRef>
          </c:cat>
          <c:val>
            <c:numRef>
              <c:f>'Case 2'!$G$6:$N$6</c:f>
              <c:numCache>
                <c:formatCode>General</c:formatCode>
                <c:ptCount val="8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12-4C79-8173-DE4E0A3810E6}"/>
            </c:ext>
          </c:extLst>
        </c:ser>
        <c:ser>
          <c:idx val="1"/>
          <c:order val="1"/>
          <c:tx>
            <c:strRef>
              <c:f>'Case 2'!$F$7</c:f>
              <c:strCache>
                <c:ptCount val="1"/>
                <c:pt idx="0">
                  <c:v>Summer N (feil)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'Case 2'!$G$4:$N$5</c:f>
              <c:multiLvlStrCache>
                <c:ptCount val="8"/>
                <c:lvl>
                  <c:pt idx="0">
                    <c:v>kjøring 1</c:v>
                  </c:pt>
                  <c:pt idx="1">
                    <c:v>kjøring 2</c:v>
                  </c:pt>
                  <c:pt idx="2">
                    <c:v>kjøring 3</c:v>
                  </c:pt>
                  <c:pt idx="3">
                    <c:v>kjøring 4</c:v>
                  </c:pt>
                  <c:pt idx="4">
                    <c:v>kjøring 1</c:v>
                  </c:pt>
                  <c:pt idx="5">
                    <c:v>kjøring 2</c:v>
                  </c:pt>
                  <c:pt idx="6">
                    <c:v>kjøring 3</c:v>
                  </c:pt>
                  <c:pt idx="7">
                    <c:v>kjøring 4</c:v>
                  </c:pt>
                </c:lvl>
                <c:lvl>
                  <c:pt idx="0">
                    <c:v>Modell 1 Zero-shot</c:v>
                  </c:pt>
                  <c:pt idx="4">
                    <c:v>Modell 2 Few-shot</c:v>
                  </c:pt>
                </c:lvl>
              </c:multiLvlStrCache>
            </c:multiLvlStrRef>
          </c:cat>
          <c:val>
            <c:numRef>
              <c:f>'Case 2'!$G$7:$N$7</c:f>
              <c:numCache>
                <c:formatCode>General</c:formatCode>
                <c:ptCount val="8"/>
                <c:pt idx="0">
                  <c:v>4</c:v>
                </c:pt>
                <c:pt idx="1">
                  <c:v>4</c:v>
                </c:pt>
                <c:pt idx="2">
                  <c:v>5</c:v>
                </c:pt>
                <c:pt idx="3">
                  <c:v>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F12-4C79-8173-DE4E0A3810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93743512"/>
        <c:axId val="1093742792"/>
      </c:barChart>
      <c:catAx>
        <c:axId val="1093743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093742792"/>
        <c:crosses val="autoZero"/>
        <c:auto val="1"/>
        <c:lblAlgn val="ctr"/>
        <c:lblOffset val="100"/>
        <c:noMultiLvlLbl val="0"/>
      </c:catAx>
      <c:valAx>
        <c:axId val="1093742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093743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'Case 3'!$A$4</c:f>
              <c:strCache>
                <c:ptCount val="1"/>
                <c:pt idx="0">
                  <c:v>Summer J (korrekt)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multiLvlStrRef>
              <c:f>'Case 3'!$B$2:$I$3</c:f>
              <c:multiLvlStrCache>
                <c:ptCount val="8"/>
                <c:lvl>
                  <c:pt idx="0">
                    <c:v>kjøring 1</c:v>
                  </c:pt>
                  <c:pt idx="1">
                    <c:v>kjøring 2</c:v>
                  </c:pt>
                  <c:pt idx="2">
                    <c:v>kjøring 3</c:v>
                  </c:pt>
                  <c:pt idx="3">
                    <c:v>kjøring 4</c:v>
                  </c:pt>
                  <c:pt idx="4">
                    <c:v>kjøring 1</c:v>
                  </c:pt>
                  <c:pt idx="5">
                    <c:v>kjøring 2</c:v>
                  </c:pt>
                  <c:pt idx="6">
                    <c:v>kjøring 3</c:v>
                  </c:pt>
                  <c:pt idx="7">
                    <c:v>kjøring 4</c:v>
                  </c:pt>
                </c:lvl>
                <c:lvl>
                  <c:pt idx="0">
                    <c:v>Modell 1 Zero-shot</c:v>
                  </c:pt>
                  <c:pt idx="4">
                    <c:v>Modell 2 Few-shot</c:v>
                  </c:pt>
                </c:lvl>
              </c:multiLvlStrCache>
            </c:multiLvlStrRef>
          </c:cat>
          <c:val>
            <c:numRef>
              <c:f>'Case 3'!$B$4:$I$4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7</c:v>
                </c:pt>
                <c:pt idx="5">
                  <c:v>6</c:v>
                </c:pt>
                <c:pt idx="6">
                  <c:v>7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1F-407F-BB04-11996A6EDDE6}"/>
            </c:ext>
          </c:extLst>
        </c:ser>
        <c:ser>
          <c:idx val="1"/>
          <c:order val="1"/>
          <c:tx>
            <c:strRef>
              <c:f>'Case 3'!$A$5</c:f>
              <c:strCache>
                <c:ptCount val="1"/>
                <c:pt idx="0">
                  <c:v>Summer N (feil)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'Case 3'!$B$2:$I$3</c:f>
              <c:multiLvlStrCache>
                <c:ptCount val="8"/>
                <c:lvl>
                  <c:pt idx="0">
                    <c:v>kjøring 1</c:v>
                  </c:pt>
                  <c:pt idx="1">
                    <c:v>kjøring 2</c:v>
                  </c:pt>
                  <c:pt idx="2">
                    <c:v>kjøring 3</c:v>
                  </c:pt>
                  <c:pt idx="3">
                    <c:v>kjøring 4</c:v>
                  </c:pt>
                  <c:pt idx="4">
                    <c:v>kjøring 1</c:v>
                  </c:pt>
                  <c:pt idx="5">
                    <c:v>kjøring 2</c:v>
                  </c:pt>
                  <c:pt idx="6">
                    <c:v>kjøring 3</c:v>
                  </c:pt>
                  <c:pt idx="7">
                    <c:v>kjøring 4</c:v>
                  </c:pt>
                </c:lvl>
                <c:lvl>
                  <c:pt idx="0">
                    <c:v>Modell 1 Zero-shot</c:v>
                  </c:pt>
                  <c:pt idx="4">
                    <c:v>Modell 2 Few-shot</c:v>
                  </c:pt>
                </c:lvl>
              </c:multiLvlStrCache>
            </c:multiLvlStrRef>
          </c:cat>
          <c:val>
            <c:numRef>
              <c:f>'Case 3'!$B$5:$I$5</c:f>
              <c:numCache>
                <c:formatCode>General</c:formatCode>
                <c:ptCount val="8"/>
                <c:pt idx="0">
                  <c:v>6</c:v>
                </c:pt>
                <c:pt idx="1">
                  <c:v>5</c:v>
                </c:pt>
                <c:pt idx="2">
                  <c:v>4</c:v>
                </c:pt>
                <c:pt idx="3">
                  <c:v>5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1F-407F-BB04-11996A6EDD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91095080"/>
        <c:axId val="1091094720"/>
      </c:barChart>
      <c:catAx>
        <c:axId val="1091095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091094720"/>
        <c:crosses val="autoZero"/>
        <c:auto val="1"/>
        <c:lblAlgn val="ctr"/>
        <c:lblOffset val="100"/>
        <c:noMultiLvlLbl val="0"/>
      </c:catAx>
      <c:valAx>
        <c:axId val="109109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091095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8</xdr:row>
      <xdr:rowOff>0</xdr:rowOff>
    </xdr:from>
    <xdr:to>
      <xdr:col>16</xdr:col>
      <xdr:colOff>0</xdr:colOff>
      <xdr:row>34</xdr:row>
      <xdr:rowOff>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C8F106E7-2042-C2E5-1A7D-018244BB5A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533400</xdr:colOff>
      <xdr:row>13</xdr:row>
      <xdr:rowOff>33337</xdr:rowOff>
    </xdr:from>
    <xdr:to>
      <xdr:col>14</xdr:col>
      <xdr:colOff>533400</xdr:colOff>
      <xdr:row>27</xdr:row>
      <xdr:rowOff>109537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1988FC31-22D4-F825-8B31-106EE369CD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13</xdr:row>
      <xdr:rowOff>1</xdr:rowOff>
    </xdr:from>
    <xdr:to>
      <xdr:col>21</xdr:col>
      <xdr:colOff>0</xdr:colOff>
      <xdr:row>39</xdr:row>
      <xdr:rowOff>1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AA3C0C93-5FE5-E267-D8FE-B1C3049FB3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10</xdr:row>
      <xdr:rowOff>0</xdr:rowOff>
    </xdr:from>
    <xdr:to>
      <xdr:col>18</xdr:col>
      <xdr:colOff>0</xdr:colOff>
      <xdr:row>35</xdr:row>
      <xdr:rowOff>190499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B1039E11-F829-8B63-0B48-36B46D5619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2"/>
  <sheetViews>
    <sheetView zoomScaleNormal="100" workbookViewId="0">
      <pane xSplit="3" ySplit="4" topLeftCell="D13" activePane="bottomRight" state="frozen"/>
      <selection pane="topRight" activeCell="D1" sqref="D1"/>
      <selection pane="bottomLeft" activeCell="A6" sqref="A6"/>
      <selection pane="bottomRight" activeCell="D39" sqref="D39"/>
    </sheetView>
  </sheetViews>
  <sheetFormatPr baseColWidth="10" defaultColWidth="8.7109375" defaultRowHeight="15" x14ac:dyDescent="0.25"/>
  <cols>
    <col min="1" max="1" width="10" customWidth="1"/>
    <col min="2" max="2" width="11.7109375" customWidth="1"/>
    <col min="3" max="3" width="42" style="39" customWidth="1"/>
    <col min="4" max="11" width="10" customWidth="1"/>
  </cols>
  <sheetData>
    <row r="1" spans="1:26" ht="27.75" customHeight="1" x14ac:dyDescent="0.25">
      <c r="A1" s="97" t="s">
        <v>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spans="1:26" ht="21.75" customHeight="1" x14ac:dyDescent="0.25">
      <c r="A2" s="96" t="s">
        <v>1</v>
      </c>
      <c r="B2" s="96"/>
      <c r="C2" s="33" t="s">
        <v>2</v>
      </c>
      <c r="I2" s="17"/>
      <c r="J2" s="17"/>
      <c r="K2" s="17"/>
      <c r="L2" s="17"/>
      <c r="M2" s="17"/>
      <c r="N2" s="17"/>
      <c r="O2" s="17"/>
      <c r="P2" s="17"/>
    </row>
    <row r="3" spans="1:26" ht="21.75" customHeight="1" x14ac:dyDescent="0.25">
      <c r="A3" s="29"/>
      <c r="B3" s="29"/>
      <c r="C3" s="34"/>
      <c r="D3" s="94" t="s">
        <v>3</v>
      </c>
      <c r="E3" s="94"/>
      <c r="F3" s="94"/>
      <c r="G3" s="94"/>
      <c r="H3" s="95" t="s">
        <v>48</v>
      </c>
      <c r="I3" s="95"/>
      <c r="J3" s="95"/>
      <c r="K3" s="95"/>
    </row>
    <row r="4" spans="1:26" ht="19.5" customHeight="1" x14ac:dyDescent="0.25">
      <c r="A4" s="30" t="s">
        <v>46</v>
      </c>
      <c r="B4" s="30" t="s">
        <v>49</v>
      </c>
      <c r="C4" s="35" t="s">
        <v>47</v>
      </c>
      <c r="D4" s="23" t="s">
        <v>4</v>
      </c>
      <c r="E4" s="2" t="s">
        <v>5</v>
      </c>
      <c r="F4" s="2" t="s">
        <v>6</v>
      </c>
      <c r="G4" s="2" t="s">
        <v>7</v>
      </c>
      <c r="H4" s="3" t="s">
        <v>4</v>
      </c>
      <c r="I4" s="3" t="s">
        <v>5</v>
      </c>
      <c r="J4" s="3" t="s">
        <v>6</v>
      </c>
      <c r="K4" s="3" t="s">
        <v>7</v>
      </c>
    </row>
    <row r="5" spans="1:26" s="22" customFormat="1" ht="15" customHeight="1" x14ac:dyDescent="0.25">
      <c r="A5" s="98" t="s">
        <v>8</v>
      </c>
      <c r="B5" s="98"/>
      <c r="C5" s="98"/>
      <c r="D5" s="98"/>
      <c r="E5" s="98"/>
      <c r="F5" s="98"/>
      <c r="G5" s="98"/>
      <c r="H5" s="98"/>
      <c r="I5" s="98"/>
      <c r="J5" s="98"/>
      <c r="K5" s="98"/>
    </row>
    <row r="6" spans="1:26" x14ac:dyDescent="0.25">
      <c r="A6" s="18" t="s">
        <v>9</v>
      </c>
      <c r="B6" s="19" t="s">
        <v>10</v>
      </c>
      <c r="C6" s="36" t="s">
        <v>11</v>
      </c>
      <c r="D6" s="31" t="s">
        <v>44</v>
      </c>
      <c r="E6" s="20" t="s">
        <v>44</v>
      </c>
      <c r="F6" s="20" t="s">
        <v>44</v>
      </c>
      <c r="G6" s="20" t="s">
        <v>44</v>
      </c>
      <c r="H6" s="21" t="s">
        <v>44</v>
      </c>
      <c r="I6" s="21" t="s">
        <v>44</v>
      </c>
      <c r="J6" s="21" t="s">
        <v>44</v>
      </c>
      <c r="K6" s="21" t="s">
        <v>44</v>
      </c>
    </row>
    <row r="7" spans="1:26" x14ac:dyDescent="0.25">
      <c r="A7" s="4" t="s">
        <v>12</v>
      </c>
      <c r="B7" s="5" t="s">
        <v>13</v>
      </c>
      <c r="C7" s="37" t="s">
        <v>14</v>
      </c>
      <c r="D7" s="32" t="s">
        <v>44</v>
      </c>
      <c r="E7" s="6" t="s">
        <v>44</v>
      </c>
      <c r="F7" s="6" t="s">
        <v>44</v>
      </c>
      <c r="G7" s="6" t="s">
        <v>45</v>
      </c>
      <c r="H7" s="7" t="s">
        <v>44</v>
      </c>
      <c r="I7" s="7" t="s">
        <v>44</v>
      </c>
      <c r="J7" s="7" t="s">
        <v>44</v>
      </c>
      <c r="K7" s="7" t="s">
        <v>44</v>
      </c>
    </row>
    <row r="8" spans="1:26" x14ac:dyDescent="0.25">
      <c r="A8" s="4" t="s">
        <v>15</v>
      </c>
      <c r="B8" s="5" t="s">
        <v>16</v>
      </c>
      <c r="C8" s="37" t="s">
        <v>17</v>
      </c>
      <c r="D8" s="32" t="s">
        <v>45</v>
      </c>
      <c r="E8" s="6" t="s">
        <v>45</v>
      </c>
      <c r="F8" s="6" t="s">
        <v>45</v>
      </c>
      <c r="G8" s="6" t="s">
        <v>45</v>
      </c>
      <c r="H8" s="7" t="s">
        <v>44</v>
      </c>
      <c r="I8" s="7" t="s">
        <v>44</v>
      </c>
      <c r="J8" s="7" t="s">
        <v>44</v>
      </c>
      <c r="K8" s="7" t="s">
        <v>45</v>
      </c>
    </row>
    <row r="9" spans="1:26" ht="38.25" x14ac:dyDescent="0.25">
      <c r="A9" s="4" t="s">
        <v>15</v>
      </c>
      <c r="B9" s="5" t="s">
        <v>18</v>
      </c>
      <c r="C9" s="37" t="s">
        <v>19</v>
      </c>
      <c r="D9" s="32" t="s">
        <v>45</v>
      </c>
      <c r="E9" s="6" t="s">
        <v>45</v>
      </c>
      <c r="F9" s="6" t="s">
        <v>45</v>
      </c>
      <c r="G9" s="6" t="s">
        <v>45</v>
      </c>
      <c r="H9" s="7" t="s">
        <v>44</v>
      </c>
      <c r="I9" s="7" t="s">
        <v>45</v>
      </c>
      <c r="J9" s="7" t="s">
        <v>44</v>
      </c>
      <c r="K9" s="7" t="s">
        <v>44</v>
      </c>
    </row>
    <row r="10" spans="1:26" x14ac:dyDescent="0.25">
      <c r="A10" s="4" t="s">
        <v>15</v>
      </c>
      <c r="B10" s="5" t="s">
        <v>20</v>
      </c>
      <c r="C10" s="37" t="s">
        <v>21</v>
      </c>
      <c r="D10" s="32" t="s">
        <v>44</v>
      </c>
      <c r="E10" s="6" t="s">
        <v>45</v>
      </c>
      <c r="F10" s="6" t="s">
        <v>45</v>
      </c>
      <c r="G10" s="6" t="s">
        <v>44</v>
      </c>
      <c r="H10" s="7" t="s">
        <v>45</v>
      </c>
      <c r="I10" s="7" t="s">
        <v>44</v>
      </c>
      <c r="J10" s="7" t="s">
        <v>44</v>
      </c>
      <c r="K10" s="7" t="s">
        <v>44</v>
      </c>
    </row>
    <row r="11" spans="1:26" x14ac:dyDescent="0.25">
      <c r="A11" s="4" t="s">
        <v>15</v>
      </c>
      <c r="B11" s="5" t="s">
        <v>22</v>
      </c>
      <c r="C11" s="37" t="s">
        <v>23</v>
      </c>
      <c r="D11" s="32" t="s">
        <v>45</v>
      </c>
      <c r="E11" s="6" t="s">
        <v>45</v>
      </c>
      <c r="F11" s="6" t="s">
        <v>45</v>
      </c>
      <c r="G11" s="6" t="s">
        <v>45</v>
      </c>
      <c r="H11" s="7" t="s">
        <v>44</v>
      </c>
      <c r="I11" s="7" t="s">
        <v>45</v>
      </c>
      <c r="J11" s="7" t="s">
        <v>44</v>
      </c>
      <c r="K11" s="7" t="s">
        <v>45</v>
      </c>
    </row>
    <row r="12" spans="1:26" ht="25.5" x14ac:dyDescent="0.25">
      <c r="A12" s="4" t="s">
        <v>15</v>
      </c>
      <c r="B12" s="5" t="s">
        <v>24</v>
      </c>
      <c r="C12" s="37" t="s">
        <v>25</v>
      </c>
      <c r="D12" s="24" t="s">
        <v>44</v>
      </c>
      <c r="E12" s="6" t="s">
        <v>44</v>
      </c>
      <c r="F12" s="6" t="s">
        <v>44</v>
      </c>
      <c r="G12" s="6" t="s">
        <v>44</v>
      </c>
      <c r="H12" s="7" t="s">
        <v>44</v>
      </c>
      <c r="I12" s="7" t="s">
        <v>44</v>
      </c>
      <c r="J12" s="7" t="s">
        <v>44</v>
      </c>
      <c r="K12" s="7" t="s">
        <v>44</v>
      </c>
    </row>
    <row r="13" spans="1:26" ht="15" customHeight="1" x14ac:dyDescent="0.25">
      <c r="A13" s="99" t="s">
        <v>26</v>
      </c>
      <c r="B13" s="99"/>
      <c r="C13" s="99"/>
      <c r="D13" s="25">
        <f t="shared" ref="D13:K13" si="0">COUNTIF(D6:D12,"J")</f>
        <v>4</v>
      </c>
      <c r="E13" s="8">
        <f t="shared" si="0"/>
        <v>3</v>
      </c>
      <c r="F13" s="8">
        <f t="shared" si="0"/>
        <v>3</v>
      </c>
      <c r="G13" s="8">
        <f t="shared" si="0"/>
        <v>3</v>
      </c>
      <c r="H13" s="8">
        <f t="shared" si="0"/>
        <v>6</v>
      </c>
      <c r="I13" s="8">
        <f t="shared" si="0"/>
        <v>5</v>
      </c>
      <c r="J13" s="8">
        <f t="shared" si="0"/>
        <v>7</v>
      </c>
      <c r="K13" s="8">
        <f t="shared" si="0"/>
        <v>5</v>
      </c>
    </row>
    <row r="14" spans="1:26" ht="15" customHeight="1" x14ac:dyDescent="0.25">
      <c r="A14" s="100" t="s">
        <v>27</v>
      </c>
      <c r="B14" s="100"/>
      <c r="C14" s="100"/>
      <c r="D14" s="26">
        <f t="shared" ref="D14:K14" si="1">COUNTIF(D6:D12,"N")</f>
        <v>3</v>
      </c>
      <c r="E14" s="9">
        <f t="shared" si="1"/>
        <v>4</v>
      </c>
      <c r="F14" s="9">
        <f t="shared" si="1"/>
        <v>4</v>
      </c>
      <c r="G14" s="9">
        <f t="shared" si="1"/>
        <v>4</v>
      </c>
      <c r="H14" s="9">
        <f t="shared" si="1"/>
        <v>1</v>
      </c>
      <c r="I14" s="9">
        <f t="shared" si="1"/>
        <v>2</v>
      </c>
      <c r="J14" s="9">
        <f t="shared" si="1"/>
        <v>0</v>
      </c>
      <c r="K14" s="9">
        <f t="shared" si="1"/>
        <v>2</v>
      </c>
    </row>
    <row r="15" spans="1:26" ht="15" customHeight="1" x14ac:dyDescent="0.25">
      <c r="A15" s="101" t="s">
        <v>28</v>
      </c>
      <c r="B15" s="101"/>
      <c r="C15" s="101"/>
      <c r="D15" s="27">
        <v>7</v>
      </c>
      <c r="E15" s="10" t="s">
        <v>24</v>
      </c>
      <c r="F15" s="10" t="s">
        <v>24</v>
      </c>
      <c r="G15" s="10" t="s">
        <v>24</v>
      </c>
      <c r="H15" s="10" t="s">
        <v>24</v>
      </c>
      <c r="I15" s="10" t="s">
        <v>24</v>
      </c>
      <c r="J15" s="10" t="s">
        <v>24</v>
      </c>
      <c r="K15" s="10" t="s">
        <v>24</v>
      </c>
    </row>
    <row r="16" spans="1:26" ht="15" customHeight="1" x14ac:dyDescent="0.25">
      <c r="A16" s="101" t="s">
        <v>29</v>
      </c>
      <c r="B16" s="101"/>
      <c r="C16" s="101"/>
      <c r="D16" s="28">
        <f>IFERROR(D13/D15,0)</f>
        <v>0.5714285714285714</v>
      </c>
      <c r="E16" s="11">
        <f t="shared" ref="E16:K16" si="2">IFERROR(E13/E15,0)</f>
        <v>0.42857142857142855</v>
      </c>
      <c r="F16" s="11">
        <f t="shared" si="2"/>
        <v>0.42857142857142855</v>
      </c>
      <c r="G16" s="11">
        <f t="shared" si="2"/>
        <v>0.42857142857142855</v>
      </c>
      <c r="H16" s="11">
        <f t="shared" si="2"/>
        <v>0.8571428571428571</v>
      </c>
      <c r="I16" s="11">
        <f t="shared" si="2"/>
        <v>0.7142857142857143</v>
      </c>
      <c r="J16" s="11">
        <f t="shared" si="2"/>
        <v>1</v>
      </c>
      <c r="K16" s="11">
        <f t="shared" si="2"/>
        <v>0.7142857142857143</v>
      </c>
    </row>
    <row r="18" spans="1:11" ht="15" customHeight="1" x14ac:dyDescent="0.25">
      <c r="A18" s="98" t="s">
        <v>30</v>
      </c>
      <c r="B18" s="98"/>
      <c r="C18" s="98"/>
      <c r="D18" s="98"/>
      <c r="E18" s="98"/>
      <c r="F18" s="98"/>
      <c r="G18" s="98"/>
      <c r="H18" s="98"/>
      <c r="I18" s="98"/>
      <c r="J18" s="98"/>
      <c r="K18" s="98"/>
    </row>
    <row r="19" spans="1:11" x14ac:dyDescent="0.25">
      <c r="A19" s="12" t="s">
        <v>9</v>
      </c>
      <c r="B19" s="13" t="s">
        <v>10</v>
      </c>
      <c r="C19" s="38" t="s">
        <v>11</v>
      </c>
      <c r="D19" s="24" t="s">
        <v>45</v>
      </c>
      <c r="E19" s="6" t="s">
        <v>45</v>
      </c>
      <c r="F19" s="6" t="s">
        <v>45</v>
      </c>
      <c r="G19" s="6" t="s">
        <v>45</v>
      </c>
      <c r="H19" s="7" t="s">
        <v>44</v>
      </c>
      <c r="I19" s="7" t="s">
        <v>44</v>
      </c>
      <c r="J19" s="7" t="s">
        <v>44</v>
      </c>
      <c r="K19" s="7" t="s">
        <v>44</v>
      </c>
    </row>
    <row r="20" spans="1:11" x14ac:dyDescent="0.25">
      <c r="A20" s="12" t="s">
        <v>12</v>
      </c>
      <c r="B20" s="13" t="s">
        <v>13</v>
      </c>
      <c r="C20" s="38" t="s">
        <v>14</v>
      </c>
      <c r="D20" s="24" t="s">
        <v>44</v>
      </c>
      <c r="E20" s="6" t="s">
        <v>44</v>
      </c>
      <c r="F20" s="6" t="s">
        <v>44</v>
      </c>
      <c r="G20" s="6" t="s">
        <v>44</v>
      </c>
      <c r="H20" s="7" t="s">
        <v>44</v>
      </c>
      <c r="I20" s="7" t="s">
        <v>44</v>
      </c>
      <c r="J20" s="7" t="s">
        <v>44</v>
      </c>
      <c r="K20" s="7" t="s">
        <v>44</v>
      </c>
    </row>
    <row r="21" spans="1:11" x14ac:dyDescent="0.25">
      <c r="A21" s="12" t="s">
        <v>15</v>
      </c>
      <c r="B21" s="13" t="s">
        <v>16</v>
      </c>
      <c r="C21" s="38" t="s">
        <v>17</v>
      </c>
      <c r="D21" s="24" t="s">
        <v>45</v>
      </c>
      <c r="E21" s="6" t="s">
        <v>45</v>
      </c>
      <c r="F21" s="6" t="s">
        <v>45</v>
      </c>
      <c r="G21" s="6" t="s">
        <v>45</v>
      </c>
      <c r="H21" s="7" t="s">
        <v>44</v>
      </c>
      <c r="I21" s="7" t="s">
        <v>44</v>
      </c>
      <c r="J21" s="7" t="s">
        <v>44</v>
      </c>
      <c r="K21" s="7" t="s">
        <v>44</v>
      </c>
    </row>
    <row r="22" spans="1:11" ht="38.25" x14ac:dyDescent="0.25">
      <c r="A22" s="12" t="s">
        <v>15</v>
      </c>
      <c r="B22" s="13" t="s">
        <v>18</v>
      </c>
      <c r="C22" s="38" t="s">
        <v>19</v>
      </c>
      <c r="D22" s="24" t="s">
        <v>45</v>
      </c>
      <c r="E22" s="6" t="s">
        <v>44</v>
      </c>
      <c r="F22" s="6" t="s">
        <v>45</v>
      </c>
      <c r="G22" s="6" t="s">
        <v>45</v>
      </c>
      <c r="H22" s="7" t="s">
        <v>44</v>
      </c>
      <c r="I22" s="7" t="s">
        <v>44</v>
      </c>
      <c r="J22" s="7" t="s">
        <v>44</v>
      </c>
      <c r="K22" s="7" t="s">
        <v>44</v>
      </c>
    </row>
    <row r="23" spans="1:11" x14ac:dyDescent="0.25">
      <c r="A23" s="12" t="s">
        <v>15</v>
      </c>
      <c r="B23" s="13" t="s">
        <v>20</v>
      </c>
      <c r="C23" s="38" t="s">
        <v>21</v>
      </c>
      <c r="D23" s="24" t="s">
        <v>45</v>
      </c>
      <c r="E23" s="6" t="s">
        <v>45</v>
      </c>
      <c r="F23" s="6" t="s">
        <v>45</v>
      </c>
      <c r="G23" s="6" t="s">
        <v>45</v>
      </c>
      <c r="H23" s="7" t="s">
        <v>44</v>
      </c>
      <c r="I23" s="7" t="s">
        <v>44</v>
      </c>
      <c r="J23" s="7" t="s">
        <v>44</v>
      </c>
      <c r="K23" s="7" t="s">
        <v>44</v>
      </c>
    </row>
    <row r="24" spans="1:11" x14ac:dyDescent="0.25">
      <c r="A24" s="12" t="s">
        <v>15</v>
      </c>
      <c r="B24" s="13" t="s">
        <v>22</v>
      </c>
      <c r="C24" s="38" t="s">
        <v>23</v>
      </c>
      <c r="D24" s="24" t="s">
        <v>44</v>
      </c>
      <c r="E24" s="6" t="s">
        <v>45</v>
      </c>
      <c r="F24" s="6" t="s">
        <v>45</v>
      </c>
      <c r="G24" s="6" t="s">
        <v>44</v>
      </c>
      <c r="H24" s="7" t="s">
        <v>44</v>
      </c>
      <c r="I24" s="7" t="s">
        <v>44</v>
      </c>
      <c r="J24" s="7" t="s">
        <v>44</v>
      </c>
      <c r="K24" s="7" t="s">
        <v>44</v>
      </c>
    </row>
    <row r="25" spans="1:11" ht="25.5" x14ac:dyDescent="0.25">
      <c r="A25" s="12" t="s">
        <v>15</v>
      </c>
      <c r="B25" s="13" t="s">
        <v>24</v>
      </c>
      <c r="C25" s="38" t="s">
        <v>25</v>
      </c>
      <c r="D25" s="24" t="s">
        <v>44</v>
      </c>
      <c r="E25" s="6" t="s">
        <v>44</v>
      </c>
      <c r="F25" s="6" t="s">
        <v>44</v>
      </c>
      <c r="G25" s="6" t="s">
        <v>44</v>
      </c>
      <c r="H25" s="7" t="s">
        <v>44</v>
      </c>
      <c r="I25" s="7" t="s">
        <v>44</v>
      </c>
      <c r="J25" s="7" t="s">
        <v>44</v>
      </c>
      <c r="K25" s="7" t="s">
        <v>44</v>
      </c>
    </row>
    <row r="26" spans="1:11" ht="15" customHeight="1" x14ac:dyDescent="0.25">
      <c r="A26" s="99" t="s">
        <v>26</v>
      </c>
      <c r="B26" s="99"/>
      <c r="C26" s="99"/>
      <c r="D26" s="25">
        <f t="shared" ref="D26:K26" si="3">COUNTIF(D19:D25,"J")</f>
        <v>3</v>
      </c>
      <c r="E26" s="8">
        <f t="shared" si="3"/>
        <v>3</v>
      </c>
      <c r="F26" s="8">
        <f t="shared" si="3"/>
        <v>2</v>
      </c>
      <c r="G26" s="8">
        <f t="shared" si="3"/>
        <v>3</v>
      </c>
      <c r="H26" s="8">
        <f t="shared" si="3"/>
        <v>7</v>
      </c>
      <c r="I26" s="8">
        <f t="shared" si="3"/>
        <v>7</v>
      </c>
      <c r="J26" s="8">
        <f t="shared" si="3"/>
        <v>7</v>
      </c>
      <c r="K26" s="8">
        <f t="shared" si="3"/>
        <v>7</v>
      </c>
    </row>
    <row r="27" spans="1:11" ht="15" customHeight="1" x14ac:dyDescent="0.25">
      <c r="A27" s="100" t="s">
        <v>27</v>
      </c>
      <c r="B27" s="100"/>
      <c r="C27" s="100"/>
      <c r="D27" s="26">
        <f t="shared" ref="D27:K27" si="4">COUNTIF(D19:D25,"N")</f>
        <v>4</v>
      </c>
      <c r="E27" s="9">
        <f t="shared" si="4"/>
        <v>4</v>
      </c>
      <c r="F27" s="9">
        <f t="shared" si="4"/>
        <v>5</v>
      </c>
      <c r="G27" s="9">
        <f t="shared" si="4"/>
        <v>4</v>
      </c>
      <c r="H27" s="9">
        <f t="shared" si="4"/>
        <v>0</v>
      </c>
      <c r="I27" s="9">
        <f t="shared" si="4"/>
        <v>0</v>
      </c>
      <c r="J27" s="9">
        <f t="shared" si="4"/>
        <v>0</v>
      </c>
      <c r="K27" s="9">
        <f t="shared" si="4"/>
        <v>0</v>
      </c>
    </row>
    <row r="28" spans="1:11" ht="15" customHeight="1" x14ac:dyDescent="0.25">
      <c r="A28" s="101" t="s">
        <v>28</v>
      </c>
      <c r="B28" s="101"/>
      <c r="C28" s="101"/>
      <c r="D28" s="27" t="s">
        <v>24</v>
      </c>
      <c r="E28" s="10" t="s">
        <v>24</v>
      </c>
      <c r="F28" s="10" t="s">
        <v>24</v>
      </c>
      <c r="G28" s="10" t="s">
        <v>24</v>
      </c>
      <c r="H28" s="10" t="s">
        <v>24</v>
      </c>
      <c r="I28" s="10" t="s">
        <v>24</v>
      </c>
      <c r="J28" s="10" t="s">
        <v>24</v>
      </c>
      <c r="K28" s="10" t="s">
        <v>24</v>
      </c>
    </row>
    <row r="29" spans="1:11" ht="15" customHeight="1" x14ac:dyDescent="0.25">
      <c r="A29" s="101" t="s">
        <v>29</v>
      </c>
      <c r="B29" s="101"/>
      <c r="C29" s="101"/>
      <c r="D29" s="28">
        <f t="shared" ref="D29:K29" si="5">IFERROR(D26/D28,0)</f>
        <v>0.42857142857142855</v>
      </c>
      <c r="E29" s="11">
        <f t="shared" si="5"/>
        <v>0.42857142857142855</v>
      </c>
      <c r="F29" s="11">
        <f t="shared" si="5"/>
        <v>0.2857142857142857</v>
      </c>
      <c r="G29" s="11">
        <f t="shared" si="5"/>
        <v>0.42857142857142855</v>
      </c>
      <c r="H29" s="11">
        <f t="shared" si="5"/>
        <v>1</v>
      </c>
      <c r="I29" s="11">
        <f t="shared" si="5"/>
        <v>1</v>
      </c>
      <c r="J29" s="11">
        <f t="shared" si="5"/>
        <v>1</v>
      </c>
      <c r="K29" s="11">
        <f t="shared" si="5"/>
        <v>1</v>
      </c>
    </row>
    <row r="31" spans="1:11" ht="15" customHeight="1" x14ac:dyDescent="0.25">
      <c r="A31" s="98" t="s">
        <v>31</v>
      </c>
      <c r="B31" s="98"/>
      <c r="C31" s="98"/>
      <c r="D31" s="98"/>
      <c r="E31" s="98"/>
      <c r="F31" s="98"/>
      <c r="G31" s="98"/>
      <c r="H31" s="98"/>
      <c r="I31" s="98"/>
      <c r="J31" s="98"/>
      <c r="K31" s="98"/>
    </row>
    <row r="32" spans="1:11" x14ac:dyDescent="0.25">
      <c r="A32" s="4" t="s">
        <v>9</v>
      </c>
      <c r="B32" s="5" t="s">
        <v>10</v>
      </c>
      <c r="C32" s="37" t="s">
        <v>11</v>
      </c>
      <c r="D32" s="24" t="s">
        <v>45</v>
      </c>
      <c r="E32" s="6" t="s">
        <v>45</v>
      </c>
      <c r="F32" s="6" t="s">
        <v>44</v>
      </c>
      <c r="G32" s="6" t="s">
        <v>45</v>
      </c>
      <c r="H32" s="7" t="s">
        <v>44</v>
      </c>
      <c r="I32" s="7" t="s">
        <v>44</v>
      </c>
      <c r="J32" s="7" t="s">
        <v>44</v>
      </c>
      <c r="K32" s="7" t="s">
        <v>44</v>
      </c>
    </row>
    <row r="33" spans="1:11" x14ac:dyDescent="0.25">
      <c r="A33" s="4" t="s">
        <v>12</v>
      </c>
      <c r="B33" s="5" t="s">
        <v>13</v>
      </c>
      <c r="C33" s="37" t="s">
        <v>14</v>
      </c>
      <c r="D33" s="24" t="s">
        <v>45</v>
      </c>
      <c r="E33" s="6" t="s">
        <v>44</v>
      </c>
      <c r="F33" s="6" t="s">
        <v>44</v>
      </c>
      <c r="G33" s="6" t="s">
        <v>44</v>
      </c>
      <c r="H33" s="7" t="s">
        <v>44</v>
      </c>
      <c r="I33" s="7" t="s">
        <v>44</v>
      </c>
      <c r="J33" s="7" t="s">
        <v>44</v>
      </c>
      <c r="K33" s="7" t="s">
        <v>44</v>
      </c>
    </row>
    <row r="34" spans="1:11" x14ac:dyDescent="0.25">
      <c r="A34" s="4" t="s">
        <v>15</v>
      </c>
      <c r="B34" s="5" t="s">
        <v>16</v>
      </c>
      <c r="C34" s="37" t="s">
        <v>17</v>
      </c>
      <c r="D34" s="24" t="s">
        <v>45</v>
      </c>
      <c r="E34" s="6" t="s">
        <v>45</v>
      </c>
      <c r="F34" s="6" t="s">
        <v>45</v>
      </c>
      <c r="G34" s="6" t="s">
        <v>45</v>
      </c>
      <c r="H34" s="7" t="s">
        <v>44</v>
      </c>
      <c r="I34" s="7" t="s">
        <v>45</v>
      </c>
      <c r="J34" s="7" t="s">
        <v>44</v>
      </c>
      <c r="K34" s="7" t="s">
        <v>45</v>
      </c>
    </row>
    <row r="35" spans="1:11" ht="38.25" x14ac:dyDescent="0.25">
      <c r="A35" s="4" t="s">
        <v>15</v>
      </c>
      <c r="B35" s="5" t="s">
        <v>18</v>
      </c>
      <c r="C35" s="37" t="s">
        <v>19</v>
      </c>
      <c r="D35" s="24" t="s">
        <v>45</v>
      </c>
      <c r="E35" s="6" t="s">
        <v>45</v>
      </c>
      <c r="F35" s="6" t="s">
        <v>45</v>
      </c>
      <c r="G35" s="6" t="s">
        <v>45</v>
      </c>
      <c r="H35" s="7" t="s">
        <v>44</v>
      </c>
      <c r="I35" s="7" t="s">
        <v>44</v>
      </c>
      <c r="J35" s="7" t="s">
        <v>44</v>
      </c>
      <c r="K35" s="7" t="s">
        <v>44</v>
      </c>
    </row>
    <row r="36" spans="1:11" x14ac:dyDescent="0.25">
      <c r="A36" s="4" t="s">
        <v>15</v>
      </c>
      <c r="B36" s="5" t="s">
        <v>20</v>
      </c>
      <c r="C36" s="37" t="s">
        <v>21</v>
      </c>
      <c r="D36" s="24" t="s">
        <v>45</v>
      </c>
      <c r="E36" s="6" t="s">
        <v>45</v>
      </c>
      <c r="F36" s="6" t="s">
        <v>45</v>
      </c>
      <c r="G36" s="6" t="s">
        <v>45</v>
      </c>
      <c r="H36" s="7" t="s">
        <v>44</v>
      </c>
      <c r="I36" s="7" t="s">
        <v>44</v>
      </c>
      <c r="J36" s="7" t="s">
        <v>44</v>
      </c>
      <c r="K36" s="7" t="s">
        <v>44</v>
      </c>
    </row>
    <row r="37" spans="1:11" x14ac:dyDescent="0.25">
      <c r="A37" s="4" t="s">
        <v>15</v>
      </c>
      <c r="B37" s="5" t="s">
        <v>22</v>
      </c>
      <c r="C37" s="37" t="s">
        <v>23</v>
      </c>
      <c r="D37" s="24" t="s">
        <v>45</v>
      </c>
      <c r="E37" s="6" t="s">
        <v>45</v>
      </c>
      <c r="F37" s="6" t="s">
        <v>45</v>
      </c>
      <c r="G37" s="6" t="s">
        <v>45</v>
      </c>
      <c r="H37" s="7" t="s">
        <v>44</v>
      </c>
      <c r="I37" s="7" t="s">
        <v>44</v>
      </c>
      <c r="J37" s="7" t="s">
        <v>44</v>
      </c>
      <c r="K37" s="7" t="s">
        <v>45</v>
      </c>
    </row>
    <row r="38" spans="1:11" ht="25.5" x14ac:dyDescent="0.25">
      <c r="A38" s="4" t="s">
        <v>15</v>
      </c>
      <c r="B38" s="5" t="s">
        <v>24</v>
      </c>
      <c r="C38" s="37" t="s">
        <v>25</v>
      </c>
      <c r="D38" s="24" t="s">
        <v>44</v>
      </c>
      <c r="E38" s="6" t="s">
        <v>44</v>
      </c>
      <c r="F38" s="6" t="s">
        <v>44</v>
      </c>
      <c r="G38" s="6" t="s">
        <v>44</v>
      </c>
      <c r="H38" s="7" t="s">
        <v>44</v>
      </c>
      <c r="I38" s="7" t="s">
        <v>44</v>
      </c>
      <c r="J38" s="7" t="s">
        <v>44</v>
      </c>
      <c r="K38" s="7" t="s">
        <v>44</v>
      </c>
    </row>
    <row r="39" spans="1:11" ht="15" customHeight="1" x14ac:dyDescent="0.25">
      <c r="A39" s="99" t="s">
        <v>26</v>
      </c>
      <c r="B39" s="99"/>
      <c r="C39" s="99"/>
      <c r="D39" s="25">
        <f t="shared" ref="D39:K39" si="6">COUNTIF(D32:D38,"J")</f>
        <v>1</v>
      </c>
      <c r="E39" s="8">
        <f t="shared" si="6"/>
        <v>2</v>
      </c>
      <c r="F39" s="8">
        <f t="shared" si="6"/>
        <v>3</v>
      </c>
      <c r="G39" s="8">
        <f t="shared" si="6"/>
        <v>2</v>
      </c>
      <c r="H39" s="8">
        <f t="shared" si="6"/>
        <v>7</v>
      </c>
      <c r="I39" s="8">
        <f t="shared" si="6"/>
        <v>6</v>
      </c>
      <c r="J39" s="8">
        <f t="shared" si="6"/>
        <v>7</v>
      </c>
      <c r="K39" s="8">
        <f t="shared" si="6"/>
        <v>5</v>
      </c>
    </row>
    <row r="40" spans="1:11" ht="15" customHeight="1" x14ac:dyDescent="0.25">
      <c r="A40" s="100" t="s">
        <v>27</v>
      </c>
      <c r="B40" s="100"/>
      <c r="C40" s="100"/>
      <c r="D40" s="26">
        <f>COUNTIF(D32:D38,"N")</f>
        <v>6</v>
      </c>
      <c r="E40" s="9">
        <f t="shared" ref="E40:K40" si="7">COUNTIF(E32:E38,"N")</f>
        <v>5</v>
      </c>
      <c r="F40" s="9">
        <f t="shared" si="7"/>
        <v>4</v>
      </c>
      <c r="G40" s="9">
        <f t="shared" si="7"/>
        <v>5</v>
      </c>
      <c r="H40" s="9">
        <f t="shared" si="7"/>
        <v>0</v>
      </c>
      <c r="I40" s="9">
        <f t="shared" si="7"/>
        <v>1</v>
      </c>
      <c r="J40" s="9">
        <f t="shared" si="7"/>
        <v>0</v>
      </c>
      <c r="K40" s="9">
        <f t="shared" si="7"/>
        <v>2</v>
      </c>
    </row>
    <row r="41" spans="1:11" ht="15" customHeight="1" x14ac:dyDescent="0.25">
      <c r="A41" s="101" t="s">
        <v>28</v>
      </c>
      <c r="B41" s="101"/>
      <c r="C41" s="101"/>
      <c r="D41" s="27" t="s">
        <v>24</v>
      </c>
      <c r="E41" s="10" t="s">
        <v>24</v>
      </c>
      <c r="F41" s="10" t="s">
        <v>24</v>
      </c>
      <c r="G41" s="10" t="s">
        <v>24</v>
      </c>
      <c r="H41" s="10" t="s">
        <v>24</v>
      </c>
      <c r="I41" s="10" t="s">
        <v>24</v>
      </c>
      <c r="J41" s="10" t="s">
        <v>24</v>
      </c>
      <c r="K41" s="10" t="s">
        <v>24</v>
      </c>
    </row>
    <row r="42" spans="1:11" ht="15" customHeight="1" x14ac:dyDescent="0.25">
      <c r="A42" s="101" t="s">
        <v>29</v>
      </c>
      <c r="B42" s="101"/>
      <c r="C42" s="101"/>
      <c r="D42" s="28">
        <f t="shared" ref="D42:K42" si="8">IFERROR(D39/D41,0)</f>
        <v>0.14285714285714285</v>
      </c>
      <c r="E42" s="11">
        <f t="shared" si="8"/>
        <v>0.2857142857142857</v>
      </c>
      <c r="F42" s="11">
        <f t="shared" si="8"/>
        <v>0.42857142857142855</v>
      </c>
      <c r="G42" s="11">
        <f t="shared" si="8"/>
        <v>0.2857142857142857</v>
      </c>
      <c r="H42" s="11">
        <f t="shared" si="8"/>
        <v>1</v>
      </c>
      <c r="I42" s="11">
        <f t="shared" si="8"/>
        <v>0.8571428571428571</v>
      </c>
      <c r="J42" s="11">
        <f t="shared" si="8"/>
        <v>1</v>
      </c>
      <c r="K42" s="11">
        <f t="shared" si="8"/>
        <v>0.7142857142857143</v>
      </c>
    </row>
  </sheetData>
  <mergeCells count="19">
    <mergeCell ref="A39:C39"/>
    <mergeCell ref="A40:C40"/>
    <mergeCell ref="A41:C41"/>
    <mergeCell ref="A42:C42"/>
    <mergeCell ref="A26:C26"/>
    <mergeCell ref="A27:C27"/>
    <mergeCell ref="A28:C28"/>
    <mergeCell ref="A29:C29"/>
    <mergeCell ref="A31:K31"/>
    <mergeCell ref="A13:C13"/>
    <mergeCell ref="A14:C14"/>
    <mergeCell ref="A15:C15"/>
    <mergeCell ref="A16:C16"/>
    <mergeCell ref="A18:K18"/>
    <mergeCell ref="D3:G3"/>
    <mergeCell ref="H3:K3"/>
    <mergeCell ref="A2:B2"/>
    <mergeCell ref="A1:K1"/>
    <mergeCell ref="A5:K5"/>
  </mergeCells>
  <pageMargins left="0.75" right="0.75" top="1" bottom="1" header="0.511811023622047" footer="0.511811023622047"/>
  <pageSetup paperSize="9" orientation="portrait" horizontalDpi="300" verticalDpi="300"/>
  <headerFooter>
    <oddFooter>&amp;C_x000D_&amp;1#&amp;"Verdana"&amp;7&amp;K000000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2191E-DCF9-44A6-8C85-A21D49157FDA}">
  <dimension ref="B1:K34"/>
  <sheetViews>
    <sheetView workbookViewId="0">
      <selection activeCell="C20" sqref="C20"/>
    </sheetView>
  </sheetViews>
  <sheetFormatPr baseColWidth="10" defaultRowHeight="15" x14ac:dyDescent="0.25"/>
  <cols>
    <col min="1" max="1" width="22" bestFit="1" customWidth="1"/>
    <col min="3" max="3" width="54.7109375" customWidth="1"/>
  </cols>
  <sheetData>
    <row r="1" spans="2:11" x14ac:dyDescent="0.25">
      <c r="D1" s="102" t="s">
        <v>3</v>
      </c>
      <c r="E1" s="102"/>
      <c r="F1" s="102"/>
      <c r="G1" s="102"/>
      <c r="H1" s="102" t="s">
        <v>48</v>
      </c>
      <c r="I1" s="102"/>
      <c r="J1" s="102"/>
      <c r="K1" s="102"/>
    </row>
    <row r="2" spans="2:11" x14ac:dyDescent="0.25">
      <c r="C2" s="89" t="s">
        <v>8</v>
      </c>
      <c r="D2" s="87" t="s">
        <v>4</v>
      </c>
      <c r="E2" s="87" t="s">
        <v>5</v>
      </c>
      <c r="F2" s="87" t="s">
        <v>6</v>
      </c>
      <c r="G2" s="87" t="s">
        <v>7</v>
      </c>
      <c r="H2" s="87" t="s">
        <v>4</v>
      </c>
      <c r="I2" s="87" t="s">
        <v>5</v>
      </c>
      <c r="J2" s="87" t="s">
        <v>6</v>
      </c>
      <c r="K2" s="87" t="s">
        <v>7</v>
      </c>
    </row>
    <row r="3" spans="2:11" x14ac:dyDescent="0.25">
      <c r="C3" s="87" t="s">
        <v>26</v>
      </c>
      <c r="D3" s="88">
        <v>4</v>
      </c>
      <c r="E3" s="88">
        <v>3</v>
      </c>
      <c r="F3" s="88">
        <v>3</v>
      </c>
      <c r="G3" s="88">
        <v>3</v>
      </c>
      <c r="H3" s="88">
        <v>6</v>
      </c>
      <c r="I3" s="88">
        <v>5</v>
      </c>
      <c r="J3" s="88">
        <v>7</v>
      </c>
      <c r="K3" s="88">
        <v>5</v>
      </c>
    </row>
    <row r="4" spans="2:11" x14ac:dyDescent="0.25">
      <c r="C4" s="87" t="s">
        <v>27</v>
      </c>
      <c r="D4" s="88">
        <v>3</v>
      </c>
      <c r="E4" s="88">
        <v>4</v>
      </c>
      <c r="F4" s="88">
        <v>4</v>
      </c>
      <c r="G4" s="88">
        <v>4</v>
      </c>
      <c r="H4" s="88">
        <v>1</v>
      </c>
      <c r="I4" s="88">
        <v>2</v>
      </c>
      <c r="J4" s="88">
        <v>0</v>
      </c>
      <c r="K4" s="88">
        <v>2</v>
      </c>
    </row>
    <row r="9" spans="2:11" x14ac:dyDescent="0.25">
      <c r="B9" s="93"/>
    </row>
    <row r="10" spans="2:11" x14ac:dyDescent="0.25">
      <c r="B10" s="93"/>
    </row>
    <row r="11" spans="2:11" x14ac:dyDescent="0.25">
      <c r="B11" s="93"/>
    </row>
    <row r="12" spans="2:11" x14ac:dyDescent="0.25">
      <c r="B12" s="93"/>
    </row>
    <row r="13" spans="2:11" x14ac:dyDescent="0.25">
      <c r="B13" s="93"/>
    </row>
    <row r="14" spans="2:11" x14ac:dyDescent="0.25">
      <c r="B14" s="93"/>
    </row>
    <row r="15" spans="2:11" x14ac:dyDescent="0.25">
      <c r="B15" s="93"/>
      <c r="D15" s="86"/>
      <c r="E15" s="86"/>
      <c r="F15" s="86"/>
      <c r="G15" s="86"/>
      <c r="H15" s="86"/>
      <c r="I15" s="86"/>
      <c r="J15" s="86"/>
      <c r="K15" s="86"/>
    </row>
    <row r="16" spans="2:11" x14ac:dyDescent="0.25">
      <c r="B16" s="93"/>
    </row>
    <row r="17" spans="2:2" x14ac:dyDescent="0.25">
      <c r="B17" s="93"/>
    </row>
    <row r="18" spans="2:2" x14ac:dyDescent="0.25">
      <c r="B18" s="93"/>
    </row>
    <row r="19" spans="2:2" x14ac:dyDescent="0.25">
      <c r="B19" s="93"/>
    </row>
    <row r="20" spans="2:2" x14ac:dyDescent="0.25">
      <c r="B20" s="93"/>
    </row>
    <row r="21" spans="2:2" x14ac:dyDescent="0.25">
      <c r="B21" s="93"/>
    </row>
    <row r="22" spans="2:2" x14ac:dyDescent="0.25">
      <c r="B22" s="93"/>
    </row>
    <row r="23" spans="2:2" x14ac:dyDescent="0.25">
      <c r="B23" s="93"/>
    </row>
    <row r="24" spans="2:2" x14ac:dyDescent="0.25">
      <c r="B24" s="93"/>
    </row>
    <row r="25" spans="2:2" x14ac:dyDescent="0.25">
      <c r="B25" s="93"/>
    </row>
    <row r="26" spans="2:2" x14ac:dyDescent="0.25">
      <c r="B26" s="93"/>
    </row>
    <row r="27" spans="2:2" x14ac:dyDescent="0.25">
      <c r="B27" s="93"/>
    </row>
    <row r="28" spans="2:2" x14ac:dyDescent="0.25">
      <c r="B28" s="93"/>
    </row>
    <row r="29" spans="2:2" x14ac:dyDescent="0.25">
      <c r="B29" s="93"/>
    </row>
    <row r="30" spans="2:2" x14ac:dyDescent="0.25">
      <c r="B30" s="93"/>
    </row>
    <row r="31" spans="2:2" x14ac:dyDescent="0.25">
      <c r="B31" s="93"/>
    </row>
    <row r="32" spans="2:2" x14ac:dyDescent="0.25">
      <c r="B32" s="93"/>
    </row>
    <row r="33" spans="2:2" x14ac:dyDescent="0.25">
      <c r="B33" s="93"/>
    </row>
    <row r="34" spans="2:2" x14ac:dyDescent="0.25">
      <c r="B34" s="93"/>
    </row>
  </sheetData>
  <mergeCells count="2">
    <mergeCell ref="D1:G1"/>
    <mergeCell ref="H1:K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55B4E-1994-4DA2-9907-EBEF95FBE5CC}">
  <dimension ref="E4:N39"/>
  <sheetViews>
    <sheetView workbookViewId="0">
      <selection activeCell="I11" sqref="I11:U11"/>
    </sheetView>
  </sheetViews>
  <sheetFormatPr baseColWidth="10" defaultRowHeight="15" x14ac:dyDescent="0.25"/>
  <cols>
    <col min="4" max="4" width="8.28515625" customWidth="1"/>
    <col min="5" max="5" width="11.42578125" hidden="1" customWidth="1"/>
    <col min="6" max="6" width="30.85546875" customWidth="1"/>
  </cols>
  <sheetData>
    <row r="4" spans="6:14" x14ac:dyDescent="0.25">
      <c r="G4" s="102" t="s">
        <v>3</v>
      </c>
      <c r="H4" s="102"/>
      <c r="I4" s="102"/>
      <c r="J4" s="102"/>
      <c r="K4" s="102" t="s">
        <v>48</v>
      </c>
      <c r="L4" s="102"/>
      <c r="M4" s="102"/>
      <c r="N4" s="102"/>
    </row>
    <row r="5" spans="6:14" ht="16.5" customHeight="1" x14ac:dyDescent="0.25">
      <c r="F5" s="91" t="s">
        <v>30</v>
      </c>
      <c r="G5" s="90" t="s">
        <v>4</v>
      </c>
      <c r="H5" s="90" t="s">
        <v>5</v>
      </c>
      <c r="I5" s="90" t="s">
        <v>6</v>
      </c>
      <c r="J5" s="90" t="s">
        <v>7</v>
      </c>
      <c r="K5" s="90" t="s">
        <v>4</v>
      </c>
      <c r="L5" s="90" t="s">
        <v>5</v>
      </c>
      <c r="M5" s="90" t="s">
        <v>6</v>
      </c>
      <c r="N5" s="90" t="s">
        <v>7</v>
      </c>
    </row>
    <row r="6" spans="6:14" x14ac:dyDescent="0.25">
      <c r="F6" s="92" t="s">
        <v>26</v>
      </c>
      <c r="G6" s="88">
        <v>3</v>
      </c>
      <c r="H6" s="88">
        <v>3</v>
      </c>
      <c r="I6" s="88">
        <v>2</v>
      </c>
      <c r="J6" s="88">
        <v>3</v>
      </c>
      <c r="K6" s="88">
        <v>7</v>
      </c>
      <c r="L6" s="88">
        <v>7</v>
      </c>
      <c r="M6" s="88">
        <v>7</v>
      </c>
      <c r="N6" s="88">
        <v>7</v>
      </c>
    </row>
    <row r="7" spans="6:14" x14ac:dyDescent="0.25">
      <c r="F7" s="92" t="s">
        <v>27</v>
      </c>
      <c r="G7" s="88">
        <v>4</v>
      </c>
      <c r="H7" s="88">
        <v>4</v>
      </c>
      <c r="I7" s="88">
        <v>5</v>
      </c>
      <c r="J7" s="88">
        <v>4</v>
      </c>
      <c r="K7" s="88">
        <v>0</v>
      </c>
      <c r="L7" s="88">
        <v>0</v>
      </c>
      <c r="M7" s="88">
        <v>0</v>
      </c>
      <c r="N7" s="88">
        <v>0</v>
      </c>
    </row>
    <row r="14" spans="6:14" x14ac:dyDescent="0.25">
      <c r="F14" s="93"/>
    </row>
    <row r="15" spans="6:14" x14ac:dyDescent="0.25">
      <c r="F15" s="93"/>
    </row>
    <row r="16" spans="6:14" x14ac:dyDescent="0.25">
      <c r="F16" s="93"/>
    </row>
    <row r="17" spans="6:6" x14ac:dyDescent="0.25">
      <c r="F17" s="93"/>
    </row>
    <row r="18" spans="6:6" x14ac:dyDescent="0.25">
      <c r="F18" s="93"/>
    </row>
    <row r="19" spans="6:6" x14ac:dyDescent="0.25">
      <c r="F19" s="93"/>
    </row>
    <row r="20" spans="6:6" x14ac:dyDescent="0.25">
      <c r="F20" s="93"/>
    </row>
    <row r="21" spans="6:6" x14ac:dyDescent="0.25">
      <c r="F21" s="93"/>
    </row>
    <row r="22" spans="6:6" x14ac:dyDescent="0.25">
      <c r="F22" s="93"/>
    </row>
    <row r="23" spans="6:6" x14ac:dyDescent="0.25">
      <c r="F23" s="93"/>
    </row>
    <row r="24" spans="6:6" x14ac:dyDescent="0.25">
      <c r="F24" s="93"/>
    </row>
    <row r="25" spans="6:6" x14ac:dyDescent="0.25">
      <c r="F25" s="93"/>
    </row>
    <row r="26" spans="6:6" x14ac:dyDescent="0.25">
      <c r="F26" s="93"/>
    </row>
    <row r="27" spans="6:6" x14ac:dyDescent="0.25">
      <c r="F27" s="93"/>
    </row>
    <row r="28" spans="6:6" x14ac:dyDescent="0.25">
      <c r="F28" s="93"/>
    </row>
    <row r="29" spans="6:6" x14ac:dyDescent="0.25">
      <c r="F29" s="93"/>
    </row>
    <row r="30" spans="6:6" x14ac:dyDescent="0.25">
      <c r="F30" s="93"/>
    </row>
    <row r="31" spans="6:6" x14ac:dyDescent="0.25">
      <c r="F31" s="93"/>
    </row>
    <row r="32" spans="6:6" x14ac:dyDescent="0.25">
      <c r="F32" s="93"/>
    </row>
    <row r="33" spans="6:6" x14ac:dyDescent="0.25">
      <c r="F33" s="93"/>
    </row>
    <row r="34" spans="6:6" x14ac:dyDescent="0.25">
      <c r="F34" s="93"/>
    </row>
    <row r="35" spans="6:6" x14ac:dyDescent="0.25">
      <c r="F35" s="93"/>
    </row>
    <row r="36" spans="6:6" x14ac:dyDescent="0.25">
      <c r="F36" s="93"/>
    </row>
    <row r="37" spans="6:6" x14ac:dyDescent="0.25">
      <c r="F37" s="93"/>
    </row>
    <row r="38" spans="6:6" x14ac:dyDescent="0.25">
      <c r="F38" s="93"/>
    </row>
    <row r="39" spans="6:6" x14ac:dyDescent="0.25">
      <c r="F39" s="93"/>
    </row>
  </sheetData>
  <mergeCells count="2">
    <mergeCell ref="G4:J4"/>
    <mergeCell ref="K4:N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952AC-2448-45FD-9CA1-30ECDA24FEA4}">
  <dimension ref="A2:I5"/>
  <sheetViews>
    <sheetView workbookViewId="0">
      <selection activeCell="D21" sqref="D21"/>
    </sheetView>
  </sheetViews>
  <sheetFormatPr baseColWidth="10" defaultRowHeight="15" x14ac:dyDescent="0.25"/>
  <cols>
    <col min="1" max="1" width="26.7109375" customWidth="1"/>
  </cols>
  <sheetData>
    <row r="2" spans="1:9" x14ac:dyDescent="0.25">
      <c r="B2" s="102" t="s">
        <v>3</v>
      </c>
      <c r="C2" s="102"/>
      <c r="D2" s="102"/>
      <c r="E2" s="102"/>
      <c r="F2" s="102" t="s">
        <v>48</v>
      </c>
      <c r="G2" s="102"/>
      <c r="H2" s="102"/>
      <c r="I2" s="102"/>
    </row>
    <row r="3" spans="1:9" x14ac:dyDescent="0.25">
      <c r="A3" s="87" t="s">
        <v>30</v>
      </c>
      <c r="B3" s="87" t="s">
        <v>4</v>
      </c>
      <c r="C3" s="87" t="s">
        <v>5</v>
      </c>
      <c r="D3" s="87" t="s">
        <v>6</v>
      </c>
      <c r="E3" s="87" t="s">
        <v>7</v>
      </c>
      <c r="F3" s="87" t="s">
        <v>4</v>
      </c>
      <c r="G3" s="87" t="s">
        <v>5</v>
      </c>
      <c r="H3" s="87" t="s">
        <v>6</v>
      </c>
      <c r="I3" s="87" t="s">
        <v>7</v>
      </c>
    </row>
    <row r="4" spans="1:9" x14ac:dyDescent="0.25">
      <c r="A4" s="88" t="s">
        <v>26</v>
      </c>
      <c r="B4" s="88">
        <v>1</v>
      </c>
      <c r="C4" s="88">
        <v>2</v>
      </c>
      <c r="D4" s="88">
        <v>3</v>
      </c>
      <c r="E4" s="88">
        <v>2</v>
      </c>
      <c r="F4" s="88">
        <v>7</v>
      </c>
      <c r="G4" s="88">
        <v>6</v>
      </c>
      <c r="H4" s="88">
        <v>7</v>
      </c>
      <c r="I4" s="88">
        <v>5</v>
      </c>
    </row>
    <row r="5" spans="1:9" x14ac:dyDescent="0.25">
      <c r="A5" s="88" t="s">
        <v>27</v>
      </c>
      <c r="B5" s="88">
        <v>6</v>
      </c>
      <c r="C5" s="88">
        <v>5</v>
      </c>
      <c r="D5" s="88">
        <v>4</v>
      </c>
      <c r="E5" s="88">
        <v>5</v>
      </c>
      <c r="F5" s="88">
        <v>0</v>
      </c>
      <c r="G5" s="88">
        <v>1</v>
      </c>
      <c r="H5" s="88">
        <v>0</v>
      </c>
      <c r="I5" s="88">
        <v>2</v>
      </c>
    </row>
  </sheetData>
  <mergeCells count="2">
    <mergeCell ref="B2:E2"/>
    <mergeCell ref="F2:I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70C9A-DD04-4AE0-8E2A-FD62F45F1620}">
  <dimension ref="A1:L33"/>
  <sheetViews>
    <sheetView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E32" sqref="E32"/>
    </sheetView>
  </sheetViews>
  <sheetFormatPr baseColWidth="10" defaultColWidth="8.7109375" defaultRowHeight="15" x14ac:dyDescent="0.25"/>
  <cols>
    <col min="1" max="1" width="4" customWidth="1"/>
    <col min="2" max="2" width="14" customWidth="1"/>
    <col min="3" max="3" width="22" customWidth="1"/>
    <col min="4" max="7" width="12" customWidth="1"/>
    <col min="8" max="8" width="20" customWidth="1"/>
    <col min="9" max="11" width="16" customWidth="1"/>
  </cols>
  <sheetData>
    <row r="1" spans="1:12" ht="27.75" customHeight="1" x14ac:dyDescent="0.25">
      <c r="A1" s="97" t="s">
        <v>65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</row>
    <row r="2" spans="1:12" ht="15.75" thickBot="1" x14ac:dyDescent="0.3">
      <c r="A2" s="85"/>
      <c r="B2" s="84" t="s">
        <v>64</v>
      </c>
      <c r="C2" s="84" t="s">
        <v>63</v>
      </c>
      <c r="D2" s="84" t="s">
        <v>62</v>
      </c>
      <c r="E2" s="84" t="s">
        <v>61</v>
      </c>
      <c r="F2" s="84" t="s">
        <v>60</v>
      </c>
      <c r="G2" s="84" t="s">
        <v>59</v>
      </c>
      <c r="H2" s="84" t="s">
        <v>58</v>
      </c>
      <c r="I2" s="84" t="s">
        <v>57</v>
      </c>
      <c r="J2" s="84" t="s">
        <v>56</v>
      </c>
      <c r="K2" s="84" t="s">
        <v>55</v>
      </c>
    </row>
    <row r="3" spans="1:12" x14ac:dyDescent="0.25">
      <c r="A3" s="73"/>
      <c r="B3" s="81" t="s">
        <v>54</v>
      </c>
      <c r="C3" s="80" t="s">
        <v>3</v>
      </c>
      <c r="D3" s="79">
        <f>Rådata!D16</f>
        <v>0.5714285714285714</v>
      </c>
      <c r="E3" s="79">
        <f>Rådata!E16</f>
        <v>0.42857142857142855</v>
      </c>
      <c r="F3" s="79">
        <f>Rådata!F16</f>
        <v>0.42857142857142855</v>
      </c>
      <c r="G3" s="78">
        <f>Rådata!G16</f>
        <v>0.42857142857142855</v>
      </c>
      <c r="H3" s="64">
        <f t="shared" ref="H3:H10" si="0">AVERAGE(D3:G3)</f>
        <v>0.4642857142857143</v>
      </c>
      <c r="I3" s="63">
        <f>Rådata!D13+Rådata!E13+Rådata!F13+Rådata!G13</f>
        <v>13</v>
      </c>
      <c r="J3" s="62">
        <f>Rådata!D14+Rådata!E14+Rådata!F14+Rådata!G14</f>
        <v>15</v>
      </c>
      <c r="K3" s="61">
        <v>7</v>
      </c>
    </row>
    <row r="4" spans="1:12" x14ac:dyDescent="0.25">
      <c r="A4" s="73"/>
      <c r="B4" s="77" t="s">
        <v>54</v>
      </c>
      <c r="C4" s="76" t="s">
        <v>3</v>
      </c>
      <c r="D4" s="75">
        <f>Rådata!D16</f>
        <v>0.5714285714285714</v>
      </c>
      <c r="E4" s="75">
        <f>Rådata!E16</f>
        <v>0.42857142857142855</v>
      </c>
      <c r="F4" s="75">
        <f>Rådata!F16</f>
        <v>0.42857142857142855</v>
      </c>
      <c r="G4" s="74">
        <f>Rådata!G16</f>
        <v>0.42857142857142855</v>
      </c>
      <c r="H4" s="56">
        <f t="shared" si="0"/>
        <v>0.4642857142857143</v>
      </c>
      <c r="I4" s="8">
        <f>Rådata!D13+Rådata!E13+Rådata!F13+Rådata!G13</f>
        <v>13</v>
      </c>
      <c r="J4" s="9">
        <f>Rådata!D14+Rådata!E14+Rådata!F14+Rådata!G14</f>
        <v>15</v>
      </c>
      <c r="K4" s="55">
        <v>7</v>
      </c>
    </row>
    <row r="5" spans="1:12" x14ac:dyDescent="0.25">
      <c r="A5" s="73"/>
      <c r="B5" s="77" t="s">
        <v>54</v>
      </c>
      <c r="C5" s="76" t="s">
        <v>3</v>
      </c>
      <c r="D5" s="75">
        <f>Rådata!D16</f>
        <v>0.5714285714285714</v>
      </c>
      <c r="E5" s="75">
        <f>Rådata!E16</f>
        <v>0.42857142857142855</v>
      </c>
      <c r="F5" s="75">
        <f>Rådata!F16</f>
        <v>0.42857142857142855</v>
      </c>
      <c r="G5" s="74">
        <f>Rådata!G16</f>
        <v>0.42857142857142855</v>
      </c>
      <c r="H5" s="56">
        <f t="shared" si="0"/>
        <v>0.4642857142857143</v>
      </c>
      <c r="I5" s="8">
        <f>Rådata!D13+Rådata!E13+Rådata!F13+Rådata!G13</f>
        <v>13</v>
      </c>
      <c r="J5" s="9">
        <f>Rådata!D14+Rådata!E14+Rådata!F14+Rådata!G14</f>
        <v>15</v>
      </c>
      <c r="K5" s="55">
        <v>7</v>
      </c>
    </row>
    <row r="6" spans="1:12" ht="15.75" thickBot="1" x14ac:dyDescent="0.3">
      <c r="A6" s="73"/>
      <c r="B6" s="72" t="s">
        <v>54</v>
      </c>
      <c r="C6" s="71" t="s">
        <v>3</v>
      </c>
      <c r="D6" s="70">
        <f>Rådata!D16</f>
        <v>0.5714285714285714</v>
      </c>
      <c r="E6" s="70">
        <f>Rådata!E16</f>
        <v>0.42857142857142855</v>
      </c>
      <c r="F6" s="70">
        <f>Rådata!F16</f>
        <v>0.42857142857142855</v>
      </c>
      <c r="G6" s="69">
        <f>Rådata!G16</f>
        <v>0.42857142857142855</v>
      </c>
      <c r="H6" s="50">
        <f t="shared" si="0"/>
        <v>0.4642857142857143</v>
      </c>
      <c r="I6" s="49">
        <f>Rådata!D13+Rådata!E13+Rådata!F13+Rådata!G13</f>
        <v>13</v>
      </c>
      <c r="J6" s="48">
        <f>Rådata!D14+Rådata!E14+Rådata!F14+Rådata!G14</f>
        <v>15</v>
      </c>
      <c r="K6" s="47">
        <v>7</v>
      </c>
    </row>
    <row r="7" spans="1:12" x14ac:dyDescent="0.25">
      <c r="A7" s="43"/>
      <c r="B7" s="68" t="s">
        <v>54</v>
      </c>
      <c r="C7" s="67" t="s">
        <v>50</v>
      </c>
      <c r="D7" s="66">
        <f>Rådata!H16</f>
        <v>0.8571428571428571</v>
      </c>
      <c r="E7" s="66">
        <f>Rådata!I16</f>
        <v>0.7142857142857143</v>
      </c>
      <c r="F7" s="66">
        <f>Rådata!J16</f>
        <v>1</v>
      </c>
      <c r="G7" s="65">
        <f>Rådata!K16</f>
        <v>0.7142857142857143</v>
      </c>
      <c r="H7" s="64">
        <f t="shared" si="0"/>
        <v>0.8214285714285714</v>
      </c>
      <c r="I7" s="63">
        <f>Rådata!H13+Rådata!I13+Rådata!J13+Rådata!K13</f>
        <v>23</v>
      </c>
      <c r="J7" s="62">
        <f>Rådata!H14+Rådata!I14+Rådata!J14+Rådata!K14</f>
        <v>5</v>
      </c>
      <c r="K7" s="61">
        <v>7</v>
      </c>
    </row>
    <row r="8" spans="1:12" x14ac:dyDescent="0.25">
      <c r="A8" s="43"/>
      <c r="B8" s="60" t="s">
        <v>54</v>
      </c>
      <c r="C8" s="59" t="s">
        <v>50</v>
      </c>
      <c r="D8" s="58">
        <f>Rådata!H16</f>
        <v>0.8571428571428571</v>
      </c>
      <c r="E8" s="58">
        <f>Rådata!I16</f>
        <v>0.7142857142857143</v>
      </c>
      <c r="F8" s="58">
        <f>Rådata!J16</f>
        <v>1</v>
      </c>
      <c r="G8" s="57">
        <f>Rådata!K16</f>
        <v>0.7142857142857143</v>
      </c>
      <c r="H8" s="56">
        <f t="shared" si="0"/>
        <v>0.8214285714285714</v>
      </c>
      <c r="I8" s="8">
        <f>Rådata!H13+Rådata!I13+Rådata!J13+Rådata!K13</f>
        <v>23</v>
      </c>
      <c r="J8" s="9">
        <f>Rådata!H14+Rådata!I14+Rådata!J14+Rådata!K14</f>
        <v>5</v>
      </c>
      <c r="K8" s="55">
        <v>7</v>
      </c>
    </row>
    <row r="9" spans="1:12" x14ac:dyDescent="0.25">
      <c r="A9" s="43"/>
      <c r="B9" s="60" t="s">
        <v>54</v>
      </c>
      <c r="C9" s="59" t="s">
        <v>50</v>
      </c>
      <c r="D9" s="58">
        <f>Rådata!H16</f>
        <v>0.8571428571428571</v>
      </c>
      <c r="E9" s="58">
        <f>Rådata!I16</f>
        <v>0.7142857142857143</v>
      </c>
      <c r="F9" s="58">
        <f>Rådata!J16</f>
        <v>1</v>
      </c>
      <c r="G9" s="57">
        <f>Rådata!K16</f>
        <v>0.7142857142857143</v>
      </c>
      <c r="H9" s="56">
        <f t="shared" si="0"/>
        <v>0.8214285714285714</v>
      </c>
      <c r="I9" s="8">
        <f>Rådata!H13+Rådata!I13+Rådata!J13+Rådata!K13</f>
        <v>23</v>
      </c>
      <c r="J9" s="9">
        <f>Rådata!H14+Rådata!I14+Rådata!J14+Rådata!K14</f>
        <v>5</v>
      </c>
      <c r="K9" s="55">
        <v>7</v>
      </c>
    </row>
    <row r="10" spans="1:12" ht="15.75" thickBot="1" x14ac:dyDescent="0.3">
      <c r="A10" s="43"/>
      <c r="B10" s="54" t="s">
        <v>54</v>
      </c>
      <c r="C10" s="53" t="s">
        <v>50</v>
      </c>
      <c r="D10" s="52">
        <f>Rådata!H16</f>
        <v>0.8571428571428571</v>
      </c>
      <c r="E10" s="52">
        <f>Rådata!I16</f>
        <v>0.7142857142857143</v>
      </c>
      <c r="F10" s="52">
        <f>Rådata!J16</f>
        <v>1</v>
      </c>
      <c r="G10" s="51">
        <f>Rådata!K16</f>
        <v>0.7142857142857143</v>
      </c>
      <c r="H10" s="50">
        <f t="shared" si="0"/>
        <v>0.8214285714285714</v>
      </c>
      <c r="I10" s="49">
        <f>Rådata!H13+Rådata!I13+Rådata!J13+Rådata!K13</f>
        <v>23</v>
      </c>
      <c r="J10" s="48">
        <f>Rådata!H14+Rådata!I14+Rådata!J14+Rådata!K14</f>
        <v>5</v>
      </c>
      <c r="K10" s="47">
        <v>7</v>
      </c>
    </row>
    <row r="11" spans="1:12" ht="15.75" thickBot="1" x14ac:dyDescent="0.3">
      <c r="D11" s="82"/>
      <c r="E11" s="82"/>
      <c r="F11" s="82"/>
      <c r="G11" s="83"/>
      <c r="H11" s="82"/>
    </row>
    <row r="12" spans="1:12" x14ac:dyDescent="0.25">
      <c r="A12" s="43"/>
      <c r="B12" s="68" t="s">
        <v>53</v>
      </c>
      <c r="C12" s="80" t="s">
        <v>3</v>
      </c>
      <c r="D12" s="79">
        <f>Rådata!D29</f>
        <v>0.42857142857142855</v>
      </c>
      <c r="E12" s="79">
        <f>Rådata!E29</f>
        <v>0.42857142857142855</v>
      </c>
      <c r="F12" s="79">
        <f>Rådata!F29</f>
        <v>0.2857142857142857</v>
      </c>
      <c r="G12" s="78">
        <f>Rådata!G29</f>
        <v>0.42857142857142855</v>
      </c>
      <c r="H12" s="64">
        <f t="shared" ref="H12:H19" si="1">AVERAGE(D12:G12)</f>
        <v>0.39285714285714285</v>
      </c>
      <c r="I12" s="63">
        <f>Rådata!D26+Rådata!E26+Rådata!F26+Rådata!G26</f>
        <v>11</v>
      </c>
      <c r="J12" s="62">
        <f>Rådata!D27+Rådata!E27+Rådata!F27+Rådata!G27</f>
        <v>17</v>
      </c>
      <c r="K12" s="61">
        <v>7</v>
      </c>
    </row>
    <row r="13" spans="1:12" x14ac:dyDescent="0.25">
      <c r="A13" s="43"/>
      <c r="B13" s="60" t="s">
        <v>53</v>
      </c>
      <c r="C13" s="76" t="s">
        <v>3</v>
      </c>
      <c r="D13" s="75">
        <f>Rådata!D29</f>
        <v>0.42857142857142855</v>
      </c>
      <c r="E13" s="75">
        <f>Rådata!E29</f>
        <v>0.42857142857142855</v>
      </c>
      <c r="F13" s="75">
        <f>Rådata!F29</f>
        <v>0.2857142857142857</v>
      </c>
      <c r="G13" s="74">
        <f>Rådata!G29</f>
        <v>0.42857142857142855</v>
      </c>
      <c r="H13" s="56">
        <f t="shared" si="1"/>
        <v>0.39285714285714285</v>
      </c>
      <c r="I13" s="8">
        <f>Rådata!D26+Rådata!E26+Rådata!F26+Rådata!G26</f>
        <v>11</v>
      </c>
      <c r="J13" s="9">
        <f>Rådata!D27+Rådata!E27+Rådata!F27+Rådata!G27</f>
        <v>17</v>
      </c>
      <c r="K13" s="55">
        <v>7</v>
      </c>
    </row>
    <row r="14" spans="1:12" x14ac:dyDescent="0.25">
      <c r="A14" s="43"/>
      <c r="B14" s="60" t="s">
        <v>53</v>
      </c>
      <c r="C14" s="76" t="s">
        <v>3</v>
      </c>
      <c r="D14" s="75">
        <f>Rådata!D29</f>
        <v>0.42857142857142855</v>
      </c>
      <c r="E14" s="75">
        <f>Rådata!E29</f>
        <v>0.42857142857142855</v>
      </c>
      <c r="F14" s="75">
        <f>Rådata!F29</f>
        <v>0.2857142857142857</v>
      </c>
      <c r="G14" s="74">
        <f>Rådata!G29</f>
        <v>0.42857142857142855</v>
      </c>
      <c r="H14" s="56">
        <f t="shared" si="1"/>
        <v>0.39285714285714285</v>
      </c>
      <c r="I14" s="8">
        <f>Rådata!D26+Rådata!E26+Rådata!F26+Rådata!G26</f>
        <v>11</v>
      </c>
      <c r="J14" s="9">
        <f>Rådata!D27+Rådata!E27+Rådata!F27+Rådata!G27</f>
        <v>17</v>
      </c>
      <c r="K14" s="55">
        <v>7</v>
      </c>
    </row>
    <row r="15" spans="1:12" ht="15.75" thickBot="1" x14ac:dyDescent="0.3">
      <c r="A15" s="43"/>
      <c r="B15" s="54" t="s">
        <v>53</v>
      </c>
      <c r="C15" s="71" t="s">
        <v>3</v>
      </c>
      <c r="D15" s="70">
        <f>Rådata!D29</f>
        <v>0.42857142857142855</v>
      </c>
      <c r="E15" s="70">
        <f>Rådata!E29</f>
        <v>0.42857142857142855</v>
      </c>
      <c r="F15" s="70">
        <f>Rådata!F29</f>
        <v>0.2857142857142857</v>
      </c>
      <c r="G15" s="69">
        <f>Rådata!G29</f>
        <v>0.42857142857142855</v>
      </c>
      <c r="H15" s="50">
        <f t="shared" si="1"/>
        <v>0.39285714285714285</v>
      </c>
      <c r="I15" s="49">
        <f>Rådata!D26+Rådata!E26+Rådata!F26+Rådata!G26</f>
        <v>11</v>
      </c>
      <c r="J15" s="48">
        <f>Rådata!D27+Rådata!E27+Rådata!F27+Rådata!G27</f>
        <v>17</v>
      </c>
      <c r="K15" s="47">
        <v>7</v>
      </c>
    </row>
    <row r="16" spans="1:12" x14ac:dyDescent="0.25">
      <c r="A16" s="73"/>
      <c r="B16" s="81" t="s">
        <v>53</v>
      </c>
      <c r="C16" s="67" t="s">
        <v>50</v>
      </c>
      <c r="D16" s="66">
        <f>Rådata!H29</f>
        <v>1</v>
      </c>
      <c r="E16" s="66">
        <f>Rådata!I29</f>
        <v>1</v>
      </c>
      <c r="F16" s="66">
        <f>Rådata!J29</f>
        <v>1</v>
      </c>
      <c r="G16" s="65">
        <f>Rådata!K29</f>
        <v>1</v>
      </c>
      <c r="H16" s="64">
        <f t="shared" si="1"/>
        <v>1</v>
      </c>
      <c r="I16" s="63">
        <f>Rådata!H26+Rådata!I26+Rådata!J26+Rådata!K26</f>
        <v>28</v>
      </c>
      <c r="J16" s="62">
        <f>Rådata!H27+Rådata!I27+Rådata!J27+Rådata!K27</f>
        <v>0</v>
      </c>
      <c r="K16" s="61">
        <v>7</v>
      </c>
    </row>
    <row r="17" spans="1:11" x14ac:dyDescent="0.25">
      <c r="A17" s="73"/>
      <c r="B17" s="77" t="s">
        <v>53</v>
      </c>
      <c r="C17" s="59" t="s">
        <v>50</v>
      </c>
      <c r="D17" s="58">
        <f>Rådata!H29</f>
        <v>1</v>
      </c>
      <c r="E17" s="58">
        <f>Rådata!I29</f>
        <v>1</v>
      </c>
      <c r="F17" s="58">
        <f>Rådata!J29</f>
        <v>1</v>
      </c>
      <c r="G17" s="57">
        <f>Rådata!K29</f>
        <v>1</v>
      </c>
      <c r="H17" s="56">
        <f t="shared" si="1"/>
        <v>1</v>
      </c>
      <c r="I17" s="8">
        <f>Rådata!H26+Rådata!I26+Rådata!J26+Rådata!K26</f>
        <v>28</v>
      </c>
      <c r="J17" s="9">
        <f>Rådata!H27+Rådata!I27+Rådata!J27+Rådata!K27</f>
        <v>0</v>
      </c>
      <c r="K17" s="55">
        <v>7</v>
      </c>
    </row>
    <row r="18" spans="1:11" x14ac:dyDescent="0.25">
      <c r="A18" s="73"/>
      <c r="B18" s="77" t="s">
        <v>53</v>
      </c>
      <c r="C18" s="59" t="s">
        <v>50</v>
      </c>
      <c r="D18" s="58">
        <f>Rådata!H29</f>
        <v>1</v>
      </c>
      <c r="E18" s="58">
        <f>Rådata!I29</f>
        <v>1</v>
      </c>
      <c r="F18" s="58">
        <f>Rådata!J29</f>
        <v>1</v>
      </c>
      <c r="G18" s="57">
        <f>Rådata!K29</f>
        <v>1</v>
      </c>
      <c r="H18" s="56">
        <f t="shared" si="1"/>
        <v>1</v>
      </c>
      <c r="I18" s="8">
        <f>Rådata!H26+Rådata!I26+Rådata!J26+Rådata!K26</f>
        <v>28</v>
      </c>
      <c r="J18" s="9">
        <f>Rådata!H27+Rådata!I27+Rådata!J27+Rådata!K27</f>
        <v>0</v>
      </c>
      <c r="K18" s="55">
        <v>7</v>
      </c>
    </row>
    <row r="19" spans="1:11" ht="15.75" thickBot="1" x14ac:dyDescent="0.3">
      <c r="A19" s="73"/>
      <c r="B19" s="72" t="s">
        <v>53</v>
      </c>
      <c r="C19" s="53" t="s">
        <v>50</v>
      </c>
      <c r="D19" s="52">
        <f>Rådata!H29</f>
        <v>1</v>
      </c>
      <c r="E19" s="52">
        <f>Rådata!I29</f>
        <v>1</v>
      </c>
      <c r="F19" s="52">
        <f>Rådata!J29</f>
        <v>1</v>
      </c>
      <c r="G19" s="51">
        <f>Rådata!K29</f>
        <v>1</v>
      </c>
      <c r="H19" s="50">
        <f t="shared" si="1"/>
        <v>1</v>
      </c>
      <c r="I19" s="49">
        <f>Rådata!H26+Rådata!I26+Rådata!J26+Rådata!K26</f>
        <v>28</v>
      </c>
      <c r="J19" s="48">
        <f>Rådata!H27+Rådata!I27+Rådata!J27+Rådata!K27</f>
        <v>0</v>
      </c>
      <c r="K19" s="47">
        <v>7</v>
      </c>
    </row>
    <row r="20" spans="1:11" ht="15.75" thickBot="1" x14ac:dyDescent="0.3">
      <c r="D20" s="82"/>
      <c r="E20" s="82"/>
      <c r="F20" s="82"/>
      <c r="G20" s="83"/>
      <c r="H20" s="82"/>
    </row>
    <row r="21" spans="1:11" x14ac:dyDescent="0.25">
      <c r="A21" s="73"/>
      <c r="B21" s="81" t="s">
        <v>52</v>
      </c>
      <c r="C21" s="80" t="s">
        <v>3</v>
      </c>
      <c r="D21" s="79">
        <f>Rådata!D42</f>
        <v>0.14285714285714285</v>
      </c>
      <c r="E21" s="79">
        <f>Rådata!E42</f>
        <v>0.2857142857142857</v>
      </c>
      <c r="F21" s="79">
        <f>Rådata!F42</f>
        <v>0.42857142857142855</v>
      </c>
      <c r="G21" s="78">
        <f>Rådata!G42</f>
        <v>0.2857142857142857</v>
      </c>
      <c r="H21" s="64">
        <f t="shared" ref="H21:H28" si="2">AVERAGE(D21:G21)</f>
        <v>0.2857142857142857</v>
      </c>
      <c r="I21" s="63">
        <f>Rådata!D39+Rådata!E39+Rådata!F39+Rådata!G39</f>
        <v>8</v>
      </c>
      <c r="J21" s="62">
        <f>Rådata!D40+Rådata!E40+Rådata!F40+Rådata!G40</f>
        <v>20</v>
      </c>
      <c r="K21" s="61">
        <v>7</v>
      </c>
    </row>
    <row r="22" spans="1:11" x14ac:dyDescent="0.25">
      <c r="A22" s="73"/>
      <c r="B22" s="77" t="s">
        <v>52</v>
      </c>
      <c r="C22" s="76" t="s">
        <v>3</v>
      </c>
      <c r="D22" s="75">
        <f>Rådata!D42</f>
        <v>0.14285714285714285</v>
      </c>
      <c r="E22" s="75">
        <f>Rådata!E42</f>
        <v>0.2857142857142857</v>
      </c>
      <c r="F22" s="75">
        <f>Rådata!F42</f>
        <v>0.42857142857142855</v>
      </c>
      <c r="G22" s="74">
        <f>Rådata!G42</f>
        <v>0.2857142857142857</v>
      </c>
      <c r="H22" s="56">
        <f t="shared" si="2"/>
        <v>0.2857142857142857</v>
      </c>
      <c r="I22" s="8">
        <f>Rådata!D39+Rådata!E39+Rådata!F39+Rådata!G39</f>
        <v>8</v>
      </c>
      <c r="J22" s="9">
        <f>Rådata!D40+Rådata!E40+Rådata!F40+Rådata!G40</f>
        <v>20</v>
      </c>
      <c r="K22" s="55">
        <v>7</v>
      </c>
    </row>
    <row r="23" spans="1:11" x14ac:dyDescent="0.25">
      <c r="A23" s="73"/>
      <c r="B23" s="77" t="s">
        <v>52</v>
      </c>
      <c r="C23" s="76" t="s">
        <v>3</v>
      </c>
      <c r="D23" s="75">
        <f>Rådata!D42</f>
        <v>0.14285714285714285</v>
      </c>
      <c r="E23" s="75">
        <f>Rådata!E42</f>
        <v>0.2857142857142857</v>
      </c>
      <c r="F23" s="75">
        <f>Rådata!F42</f>
        <v>0.42857142857142855</v>
      </c>
      <c r="G23" s="74">
        <f>Rådata!G42</f>
        <v>0.2857142857142857</v>
      </c>
      <c r="H23" s="56">
        <f t="shared" si="2"/>
        <v>0.2857142857142857</v>
      </c>
      <c r="I23" s="8">
        <f>Rådata!D39+Rådata!E39+Rådata!F39+Rådata!G39</f>
        <v>8</v>
      </c>
      <c r="J23" s="9">
        <f>Rådata!D40+Rådata!E40+Rådata!F40+Rådata!G40</f>
        <v>20</v>
      </c>
      <c r="K23" s="55">
        <v>7</v>
      </c>
    </row>
    <row r="24" spans="1:11" ht="15.75" thickBot="1" x14ac:dyDescent="0.3">
      <c r="A24" s="73"/>
      <c r="B24" s="72" t="s">
        <v>52</v>
      </c>
      <c r="C24" s="71" t="s">
        <v>3</v>
      </c>
      <c r="D24" s="70">
        <f>Rådata!D42</f>
        <v>0.14285714285714285</v>
      </c>
      <c r="E24" s="70">
        <f>Rådata!E42</f>
        <v>0.2857142857142857</v>
      </c>
      <c r="F24" s="70">
        <f>Rådata!F42</f>
        <v>0.42857142857142855</v>
      </c>
      <c r="G24" s="69">
        <f>Rådata!G42</f>
        <v>0.2857142857142857</v>
      </c>
      <c r="H24" s="50">
        <f t="shared" si="2"/>
        <v>0.2857142857142857</v>
      </c>
      <c r="I24" s="49">
        <f>Rådata!D39+Rådata!E39+Rådata!F39+Rådata!G39</f>
        <v>8</v>
      </c>
      <c r="J24" s="48">
        <f>Rådata!D40+Rådata!E40+Rådata!F40+Rådata!G40</f>
        <v>20</v>
      </c>
      <c r="K24" s="47">
        <v>7</v>
      </c>
    </row>
    <row r="25" spans="1:11" x14ac:dyDescent="0.25">
      <c r="A25" s="43"/>
      <c r="B25" s="68" t="s">
        <v>52</v>
      </c>
      <c r="C25" s="67" t="s">
        <v>50</v>
      </c>
      <c r="D25" s="66">
        <f>Rådata!H42</f>
        <v>1</v>
      </c>
      <c r="E25" s="66">
        <f>Rådata!I42</f>
        <v>0.8571428571428571</v>
      </c>
      <c r="F25" s="66">
        <f>Rådata!J42</f>
        <v>1</v>
      </c>
      <c r="G25" s="65">
        <f>Rådata!K42</f>
        <v>0.7142857142857143</v>
      </c>
      <c r="H25" s="64">
        <f t="shared" si="2"/>
        <v>0.8928571428571429</v>
      </c>
      <c r="I25" s="63">
        <f>Rådata!H39+Rådata!I39+Rådata!J39+Rådata!K39</f>
        <v>25</v>
      </c>
      <c r="J25" s="62">
        <f>Rådata!H40+Rådata!I40+Rådata!J40+Rådata!K40</f>
        <v>3</v>
      </c>
      <c r="K25" s="61">
        <v>7</v>
      </c>
    </row>
    <row r="26" spans="1:11" x14ac:dyDescent="0.25">
      <c r="A26" s="43"/>
      <c r="B26" s="60" t="s">
        <v>52</v>
      </c>
      <c r="C26" s="59" t="s">
        <v>50</v>
      </c>
      <c r="D26" s="58">
        <f>Rådata!H42</f>
        <v>1</v>
      </c>
      <c r="E26" s="58">
        <f>Rådata!I42</f>
        <v>0.8571428571428571</v>
      </c>
      <c r="F26" s="58">
        <f>Rådata!J42</f>
        <v>1</v>
      </c>
      <c r="G26" s="57">
        <f>Rådata!K42</f>
        <v>0.7142857142857143</v>
      </c>
      <c r="H26" s="56">
        <f t="shared" si="2"/>
        <v>0.8928571428571429</v>
      </c>
      <c r="I26" s="8">
        <f>Rådata!H39+Rådata!I39+Rådata!J39+Rådata!K39</f>
        <v>25</v>
      </c>
      <c r="J26" s="9">
        <f>Rådata!H40+Rådata!I40+Rådata!J40+Rådata!K40</f>
        <v>3</v>
      </c>
      <c r="K26" s="55">
        <v>7</v>
      </c>
    </row>
    <row r="27" spans="1:11" x14ac:dyDescent="0.25">
      <c r="A27" s="43"/>
      <c r="B27" s="60" t="s">
        <v>52</v>
      </c>
      <c r="C27" s="59" t="s">
        <v>50</v>
      </c>
      <c r="D27" s="58">
        <f>Rådata!H42</f>
        <v>1</v>
      </c>
      <c r="E27" s="58">
        <f>Rådata!I42</f>
        <v>0.8571428571428571</v>
      </c>
      <c r="F27" s="58">
        <f>Rådata!J42</f>
        <v>1</v>
      </c>
      <c r="G27" s="57">
        <f>Rådata!K42</f>
        <v>0.7142857142857143</v>
      </c>
      <c r="H27" s="56">
        <f t="shared" si="2"/>
        <v>0.8928571428571429</v>
      </c>
      <c r="I27" s="8">
        <f>Rådata!H39+Rådata!I39+Rådata!J39+Rådata!K39</f>
        <v>25</v>
      </c>
      <c r="J27" s="9">
        <f>Rådata!H40+Rådata!I40+Rådata!J40+Rådata!K40</f>
        <v>3</v>
      </c>
      <c r="K27" s="55">
        <v>7</v>
      </c>
    </row>
    <row r="28" spans="1:11" ht="15.75" thickBot="1" x14ac:dyDescent="0.3">
      <c r="A28" s="43"/>
      <c r="B28" s="54" t="s">
        <v>52</v>
      </c>
      <c r="C28" s="53" t="s">
        <v>50</v>
      </c>
      <c r="D28" s="52">
        <f>Rådata!H42</f>
        <v>1</v>
      </c>
      <c r="E28" s="52">
        <f>Rådata!I42</f>
        <v>0.8571428571428571</v>
      </c>
      <c r="F28" s="52">
        <f>Rådata!J42</f>
        <v>1</v>
      </c>
      <c r="G28" s="51">
        <f>Rådata!K42</f>
        <v>0.7142857142857143</v>
      </c>
      <c r="H28" s="50">
        <f t="shared" si="2"/>
        <v>0.8928571428571429</v>
      </c>
      <c r="I28" s="49">
        <f>Rådata!H39+Rådata!I39+Rådata!J39+Rådata!K39</f>
        <v>25</v>
      </c>
      <c r="J28" s="48">
        <f>Rådata!H40+Rådata!I40+Rådata!J40+Rådata!K40</f>
        <v>3</v>
      </c>
      <c r="K28" s="47">
        <v>7</v>
      </c>
    </row>
    <row r="31" spans="1:11" ht="15" customHeight="1" thickBot="1" x14ac:dyDescent="0.3">
      <c r="A31" s="103" t="s">
        <v>51</v>
      </c>
      <c r="B31" s="103"/>
      <c r="C31" s="104"/>
    </row>
    <row r="32" spans="1:11" x14ac:dyDescent="0.25">
      <c r="A32" s="44"/>
      <c r="B32" s="43"/>
      <c r="C32" s="46" t="s">
        <v>3</v>
      </c>
      <c r="H32" s="45">
        <f>AVERAGE(H3,H4,H5,H6,H12,H13,H14,H15,H21,H22,H23,H24)</f>
        <v>0.38095238095238093</v>
      </c>
    </row>
    <row r="33" spans="1:8" ht="15.75" thickBot="1" x14ac:dyDescent="0.3">
      <c r="A33" s="44"/>
      <c r="B33" s="43"/>
      <c r="C33" s="42" t="s">
        <v>50</v>
      </c>
      <c r="H33" s="41">
        <f>AVERAGE(H7,H8,H9,H10,H16,H17,H18,H19,H25,H26,H27,H28)</f>
        <v>0.90476190476190466</v>
      </c>
    </row>
  </sheetData>
  <mergeCells count="2">
    <mergeCell ref="A1:L1"/>
    <mergeCell ref="A31:C31"/>
  </mergeCells>
  <conditionalFormatting sqref="D3:H2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2:H3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1:I28 I12:I19 I3:I10">
    <cfRule type="colorScale" priority="2">
      <colorScale>
        <cfvo type="num" val="0"/>
        <cfvo type="num" val="26"/>
        <color rgb="FF00B050"/>
        <color rgb="FF00B050"/>
      </colorScale>
    </cfRule>
  </conditionalFormatting>
  <conditionalFormatting sqref="J21:J28 J12:J19 J3:J10">
    <cfRule type="colorScale" priority="1">
      <colorScale>
        <cfvo type="num" val="0"/>
        <cfvo type="num" val="0"/>
        <color rgb="FFF83E3E"/>
        <color rgb="FFF83E3E"/>
      </colorScale>
    </cfRule>
  </conditionalFormatting>
  <pageMargins left="0.75" right="0.75" top="1" bottom="1" header="0.511811023622047" footer="0.511811023622047"/>
  <pageSetup paperSize="9" orientation="portrait" horizontalDpi="300" verticalDpi="300"/>
  <headerFooter>
    <oddFooter>&amp;C_x000D_&amp;1#&amp;"Verdana"&amp;7&amp;K000000 Confidential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B15"/>
  <sheetViews>
    <sheetView tabSelected="1" zoomScaleNormal="100" workbookViewId="0">
      <selection activeCell="B8" sqref="B8"/>
    </sheetView>
  </sheetViews>
  <sheetFormatPr baseColWidth="10" defaultColWidth="8.7109375" defaultRowHeight="15" x14ac:dyDescent="0.25"/>
  <cols>
    <col min="1" max="1" width="4" customWidth="1"/>
    <col min="2" max="2" width="90" customWidth="1"/>
  </cols>
  <sheetData>
    <row r="1" spans="2:2" ht="18" customHeight="1" x14ac:dyDescent="0.25">
      <c r="B1" s="1" t="s">
        <v>32</v>
      </c>
    </row>
    <row r="2" spans="2:2" ht="18" customHeight="1" x14ac:dyDescent="0.25">
      <c r="B2" s="14"/>
    </row>
    <row r="3" spans="2:2" ht="18" customHeight="1" x14ac:dyDescent="0.25">
      <c r="B3" s="15" t="s">
        <v>33</v>
      </c>
    </row>
    <row r="4" spans="2:2" ht="18" customHeight="1" x14ac:dyDescent="0.25">
      <c r="B4" s="14" t="s">
        <v>34</v>
      </c>
    </row>
    <row r="5" spans="2:2" ht="18" customHeight="1" x14ac:dyDescent="0.25">
      <c r="B5" s="14" t="s">
        <v>35</v>
      </c>
    </row>
    <row r="6" spans="2:2" ht="18" customHeight="1" x14ac:dyDescent="0.25">
      <c r="B6" s="14" t="s">
        <v>36</v>
      </c>
    </row>
    <row r="7" spans="2:2" ht="18" customHeight="1" x14ac:dyDescent="0.25">
      <c r="B7" s="14"/>
    </row>
    <row r="8" spans="2:2" ht="18" customHeight="1" x14ac:dyDescent="0.25">
      <c r="B8" s="16" t="s">
        <v>66</v>
      </c>
    </row>
    <row r="9" spans="2:2" ht="18" customHeight="1" x14ac:dyDescent="0.25">
      <c r="B9" s="14" t="s">
        <v>37</v>
      </c>
    </row>
    <row r="10" spans="2:2" ht="18" customHeight="1" x14ac:dyDescent="0.25">
      <c r="B10" s="14" t="s">
        <v>38</v>
      </c>
    </row>
    <row r="11" spans="2:2" ht="18" customHeight="1" x14ac:dyDescent="0.25">
      <c r="B11" s="14" t="s">
        <v>39</v>
      </c>
    </row>
    <row r="12" spans="2:2" ht="18" customHeight="1" x14ac:dyDescent="0.25">
      <c r="B12" s="14" t="s">
        <v>40</v>
      </c>
    </row>
    <row r="13" spans="2:2" ht="18" customHeight="1" x14ac:dyDescent="0.25">
      <c r="B13" s="14" t="s">
        <v>41</v>
      </c>
    </row>
    <row r="14" spans="2:2" ht="18" customHeight="1" x14ac:dyDescent="0.25">
      <c r="B14" s="14" t="s">
        <v>42</v>
      </c>
    </row>
    <row r="15" spans="2:2" ht="18" customHeight="1" x14ac:dyDescent="0.25">
      <c r="B15" s="14" t="s">
        <v>43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&amp;C_x000D_&amp;1#&amp;"Verdana"&amp;7&amp;K000000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6</vt:i4>
      </vt:variant>
    </vt:vector>
  </HeadingPairs>
  <TitlesOfParts>
    <vt:vector size="6" baseType="lpstr">
      <vt:lpstr>Rådata</vt:lpstr>
      <vt:lpstr>Case 1</vt:lpstr>
      <vt:lpstr>Case 2</vt:lpstr>
      <vt:lpstr>Case 3</vt:lpstr>
      <vt:lpstr>Analyse og resultater </vt:lpstr>
      <vt:lpstr>Instruksjoner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Ahmad Rezaie</cp:lastModifiedBy>
  <cp:revision>0</cp:revision>
  <dcterms:created xsi:type="dcterms:W3CDTF">2026-05-11T16:40:12Z</dcterms:created>
  <dcterms:modified xsi:type="dcterms:W3CDTF">2026-05-14T18:58:25Z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ea7001-5c24-4702-a3ac-e436ccb02747_Enabled">
    <vt:lpwstr>true</vt:lpwstr>
  </property>
  <property fmtid="{D5CDD505-2E9C-101B-9397-08002B2CF9AE}" pid="3" name="MSIP_Label_20ea7001-5c24-4702-a3ac-e436ccb02747_SetDate">
    <vt:lpwstr>2026-05-11T16:52:28Z</vt:lpwstr>
  </property>
  <property fmtid="{D5CDD505-2E9C-101B-9397-08002B2CF9AE}" pid="4" name="MSIP_Label_20ea7001-5c24-4702-a3ac-e436ccb02747_Method">
    <vt:lpwstr>Standard</vt:lpwstr>
  </property>
  <property fmtid="{D5CDD505-2E9C-101B-9397-08002B2CF9AE}" pid="5" name="MSIP_Label_20ea7001-5c24-4702-a3ac-e436ccb02747_Name">
    <vt:lpwstr>Confidential</vt:lpwstr>
  </property>
  <property fmtid="{D5CDD505-2E9C-101B-9397-08002B2CF9AE}" pid="6" name="MSIP_Label_20ea7001-5c24-4702-a3ac-e436ccb02747_SiteId">
    <vt:lpwstr>c8823c91-be81-4f89-b024-6c3dd789c106</vt:lpwstr>
  </property>
  <property fmtid="{D5CDD505-2E9C-101B-9397-08002B2CF9AE}" pid="7" name="MSIP_Label_20ea7001-5c24-4702-a3ac-e436ccb02747_ActionId">
    <vt:lpwstr>68e42d3c-4353-4616-9d0a-60ab0f8583cb</vt:lpwstr>
  </property>
  <property fmtid="{D5CDD505-2E9C-101B-9397-08002B2CF9AE}" pid="8" name="MSIP_Label_20ea7001-5c24-4702-a3ac-e436ccb02747_ContentBits">
    <vt:lpwstr>2</vt:lpwstr>
  </property>
  <property fmtid="{D5CDD505-2E9C-101B-9397-08002B2CF9AE}" pid="9" name="MSIP_Label_20ea7001-5c24-4702-a3ac-e436ccb02747_Tag">
    <vt:lpwstr>10, 3, 0, 1</vt:lpwstr>
  </property>
  <property fmtid="{D5CDD505-2E9C-101B-9397-08002B2CF9AE}" pid="10" name="Folder_Number">
    <vt:lpwstr/>
  </property>
  <property fmtid="{D5CDD505-2E9C-101B-9397-08002B2CF9AE}" pid="11" name="Folder_Code">
    <vt:lpwstr/>
  </property>
  <property fmtid="{D5CDD505-2E9C-101B-9397-08002B2CF9AE}" pid="12" name="Folder_Name">
    <vt:lpwstr/>
  </property>
  <property fmtid="{D5CDD505-2E9C-101B-9397-08002B2CF9AE}" pid="13" name="Folder_Description">
    <vt:lpwstr/>
  </property>
  <property fmtid="{D5CDD505-2E9C-101B-9397-08002B2CF9AE}" pid="14" name="/Folder_Name/">
    <vt:lpwstr/>
  </property>
  <property fmtid="{D5CDD505-2E9C-101B-9397-08002B2CF9AE}" pid="15" name="/Folder_Description/">
    <vt:lpwstr/>
  </property>
  <property fmtid="{D5CDD505-2E9C-101B-9397-08002B2CF9AE}" pid="16" name="Folder_Version">
    <vt:lpwstr/>
  </property>
  <property fmtid="{D5CDD505-2E9C-101B-9397-08002B2CF9AE}" pid="17" name="Folder_VersionSeq">
    <vt:lpwstr/>
  </property>
  <property fmtid="{D5CDD505-2E9C-101B-9397-08002B2CF9AE}" pid="18" name="Folder_Manager">
    <vt:lpwstr/>
  </property>
  <property fmtid="{D5CDD505-2E9C-101B-9397-08002B2CF9AE}" pid="19" name="Folder_ManagerDesc">
    <vt:lpwstr/>
  </property>
  <property fmtid="{D5CDD505-2E9C-101B-9397-08002B2CF9AE}" pid="20" name="Folder_Storage">
    <vt:lpwstr/>
  </property>
  <property fmtid="{D5CDD505-2E9C-101B-9397-08002B2CF9AE}" pid="21" name="Folder_StorageDesc">
    <vt:lpwstr/>
  </property>
  <property fmtid="{D5CDD505-2E9C-101B-9397-08002B2CF9AE}" pid="22" name="Folder_Creator">
    <vt:lpwstr/>
  </property>
  <property fmtid="{D5CDD505-2E9C-101B-9397-08002B2CF9AE}" pid="23" name="Folder_CreatorDesc">
    <vt:lpwstr/>
  </property>
  <property fmtid="{D5CDD505-2E9C-101B-9397-08002B2CF9AE}" pid="24" name="Folder_CreateDate">
    <vt:lpwstr/>
  </property>
  <property fmtid="{D5CDD505-2E9C-101B-9397-08002B2CF9AE}" pid="25" name="Folder_Updater">
    <vt:lpwstr/>
  </property>
  <property fmtid="{D5CDD505-2E9C-101B-9397-08002B2CF9AE}" pid="26" name="Folder_UpdaterDesc">
    <vt:lpwstr/>
  </property>
  <property fmtid="{D5CDD505-2E9C-101B-9397-08002B2CF9AE}" pid="27" name="Folder_UpdateDate">
    <vt:lpwstr/>
  </property>
  <property fmtid="{D5CDD505-2E9C-101B-9397-08002B2CF9AE}" pid="28" name="Document_Number">
    <vt:lpwstr/>
  </property>
  <property fmtid="{D5CDD505-2E9C-101B-9397-08002B2CF9AE}" pid="29" name="Document_Name">
    <vt:lpwstr/>
  </property>
  <property fmtid="{D5CDD505-2E9C-101B-9397-08002B2CF9AE}" pid="30" name="Document_FileName">
    <vt:lpwstr/>
  </property>
  <property fmtid="{D5CDD505-2E9C-101B-9397-08002B2CF9AE}" pid="31" name="Document_Version">
    <vt:lpwstr/>
  </property>
  <property fmtid="{D5CDD505-2E9C-101B-9397-08002B2CF9AE}" pid="32" name="Document_VersionSeq">
    <vt:lpwstr/>
  </property>
  <property fmtid="{D5CDD505-2E9C-101B-9397-08002B2CF9AE}" pid="33" name="Document_Creator">
    <vt:lpwstr/>
  </property>
  <property fmtid="{D5CDD505-2E9C-101B-9397-08002B2CF9AE}" pid="34" name="Document_CreatorDesc">
    <vt:lpwstr/>
  </property>
  <property fmtid="{D5CDD505-2E9C-101B-9397-08002B2CF9AE}" pid="35" name="Document_CreateDate">
    <vt:lpwstr/>
  </property>
  <property fmtid="{D5CDD505-2E9C-101B-9397-08002B2CF9AE}" pid="36" name="Document_Updater">
    <vt:lpwstr/>
  </property>
  <property fmtid="{D5CDD505-2E9C-101B-9397-08002B2CF9AE}" pid="37" name="Document_UpdaterDesc">
    <vt:lpwstr/>
  </property>
  <property fmtid="{D5CDD505-2E9C-101B-9397-08002B2CF9AE}" pid="38" name="Document_UpdateDate">
    <vt:lpwstr/>
  </property>
  <property fmtid="{D5CDD505-2E9C-101B-9397-08002B2CF9AE}" pid="39" name="Document_Size">
    <vt:lpwstr/>
  </property>
  <property fmtid="{D5CDD505-2E9C-101B-9397-08002B2CF9AE}" pid="40" name="Document_Storage">
    <vt:lpwstr/>
  </property>
  <property fmtid="{D5CDD505-2E9C-101B-9397-08002B2CF9AE}" pid="41" name="Document_StorageDesc">
    <vt:lpwstr/>
  </property>
  <property fmtid="{D5CDD505-2E9C-101B-9397-08002B2CF9AE}" pid="42" name="Document_Department">
    <vt:lpwstr/>
  </property>
  <property fmtid="{D5CDD505-2E9C-101B-9397-08002B2CF9AE}" pid="43" name="Document_DepartmentDesc">
    <vt:lpwstr/>
  </property>
</Properties>
</file>
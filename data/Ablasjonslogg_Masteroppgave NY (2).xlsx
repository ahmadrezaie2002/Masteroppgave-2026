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ramboll-my.sharepoint.com/personal/ahmad_rezaie_ramboll_no/Documents/"/>
    </mc:Choice>
  </mc:AlternateContent>
  <xr:revisionPtr revIDLastSave="837" documentId="8_{6F0D707D-82C4-467B-853E-B5ACFC2B652A}" xr6:coauthVersionLast="47" xr6:coauthVersionMax="47" xr10:uidLastSave="{1CC21C21-2663-4E22-AF69-F1A28C1BEC0F}"/>
  <bookViews>
    <workbookView xWindow="-120" yWindow="-120" windowWidth="29040" windowHeight="15720" tabRatio="694" activeTab="7" xr2:uid="{00000000-000D-0000-FFFF-FFFF00000000}"/>
  </bookViews>
  <sheets>
    <sheet name="Fasitlogg (2)" sheetId="1" r:id="rId1"/>
    <sheet name="Rådata ablasjon (2)" sheetId="7" r:id="rId2"/>
    <sheet name="Recall" sheetId="10" r:id="rId3"/>
    <sheet name="Precision" sheetId="11" r:id="rId4"/>
    <sheet name="F1 Score" sheetId="9" r:id="rId5"/>
    <sheet name="Beregninger ablasjon (2)" sheetId="8" r:id="rId6"/>
    <sheet name="Flaggingskategorier (2)" sheetId="5" r:id="rId7"/>
    <sheet name="Konsistens_kjøringer (2)" sheetId="6" r:id="rId8"/>
  </sheet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8" l="1"/>
  <c r="E13" i="8"/>
  <c r="D13" i="8"/>
  <c r="C13" i="8"/>
  <c r="C12" i="8"/>
  <c r="H4" i="8"/>
  <c r="G8" i="8"/>
  <c r="H8" i="8" s="1"/>
  <c r="G4" i="8"/>
  <c r="F4" i="8"/>
  <c r="G8" i="6" a="1"/>
  <c r="G8" i="6" s="1"/>
  <c r="G9" i="6" a="1"/>
  <c r="G9" i="6" s="1"/>
  <c r="G5" i="6" a="1"/>
  <c r="G5" i="6" s="1"/>
  <c r="G6" i="6" a="1"/>
  <c r="G6" i="6" s="1"/>
  <c r="G7" i="6" a="1"/>
  <c r="G7" i="6" s="1"/>
  <c r="G4" i="6" a="1"/>
  <c r="G4" i="6" s="1"/>
  <c r="G13" i="8"/>
  <c r="G12" i="8"/>
  <c r="E12" i="8"/>
  <c r="D12" i="8"/>
  <c r="G9" i="8"/>
  <c r="F9" i="8"/>
  <c r="F8" i="8"/>
  <c r="G7" i="8"/>
  <c r="F7" i="8"/>
  <c r="H7" i="8" s="1"/>
  <c r="G6" i="8"/>
  <c r="F6" i="8"/>
  <c r="G5" i="8"/>
  <c r="F5" i="8"/>
  <c r="C6" i="5"/>
  <c r="B6" i="5"/>
  <c r="H9" i="8" l="1"/>
  <c r="H6" i="8"/>
  <c r="H5" i="8"/>
  <c r="H12" i="8"/>
  <c r="F13" i="8"/>
  <c r="H1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<sst xmlns="http://schemas.openxmlformats.org/spreadsheetml/2006/main" count="558" uniqueCount="128">
  <si>
    <t>FASITLOGG – ABLASJONSTEST</t>
  </si>
  <si>
    <t>Case-ID</t>
  </si>
  <si>
    <t>Felt tømt</t>
  </si>
  <si>
    <t>Beskrivelse av felt</t>
  </si>
  <si>
    <t>Korrekt verdi</t>
  </si>
  <si>
    <t>Felt-type</t>
  </si>
  <si>
    <t>Kritisk?</t>
  </si>
  <si>
    <t>C1</t>
  </si>
  <si>
    <t>Risikoklasse</t>
  </si>
  <si>
    <t>RK angitt i dokumentets kap. 1–2</t>
  </si>
  <si>
    <t>Klassifisering</t>
  </si>
  <si>
    <t>Ja</t>
  </si>
  <si>
    <t>Brannklasse</t>
  </si>
  <si>
    <t>BK angitt i dokumentets kap. 1–2</t>
  </si>
  <si>
    <t>Kompenserende tiltak</t>
  </si>
  <si>
    <t>Ett konkret tiltak fjernet fra kap. 4.3</t>
  </si>
  <si>
    <t>brannalarmanlegg: ja , NS 3960 kategor 2</t>
  </si>
  <si>
    <t>Tiltak</t>
  </si>
  <si>
    <t>C2</t>
  </si>
  <si>
    <t>Lavt persontall i branncelle</t>
  </si>
  <si>
    <t>C3</t>
  </si>
  <si>
    <t>automatisk slokkeanlegg</t>
  </si>
  <si>
    <t>RÅDATA – ABLASJONSTEST  (Delstudie 2)</t>
  </si>
  <si>
    <t>Modell</t>
  </si>
  <si>
    <t>Kjøring
(1 eller 2)</t>
  </si>
  <si>
    <t>Tid</t>
  </si>
  <si>
    <t>Felt tømt
(fra fasitlogg)</t>
  </si>
  <si>
    <t>Modellens
flagg?</t>
  </si>
  <si>
    <t>Type flagg
(KRITISK/
MANGLER/ingen)</t>
  </si>
  <si>
    <t>True Positive
(TP)</t>
  </si>
  <si>
    <t>False Positive
(FP)</t>
  </si>
  <si>
    <t>False Negative
(FN)</t>
  </si>
  <si>
    <t>Implisitt
hallusinert?</t>
  </si>
  <si>
    <t>Notat / observasjon</t>
  </si>
  <si>
    <t>M1 (ZS)</t>
  </si>
  <si>
    <t>1</t>
  </si>
  <si>
    <t>34,91 sek</t>
  </si>
  <si>
    <t>NEI</t>
  </si>
  <si>
    <t>INGEN</t>
  </si>
  <si>
    <t>JA</t>
  </si>
  <si>
    <t>^</t>
  </si>
  <si>
    <t>MANGEL</t>
  </si>
  <si>
    <t>Kompenserende tiltak: Brannalarmanlegg</t>
  </si>
  <si>
    <t>34,89 sek</t>
  </si>
  <si>
    <t>Kompenserende tiltak : Lavt persontall i branncelle</t>
  </si>
  <si>
    <t>13,97 sek</t>
  </si>
  <si>
    <t>KRITISK</t>
  </si>
  <si>
    <t>Kompenserende tiltak: Automatisk slokkeanlegg</t>
  </si>
  <si>
    <t>39,08 sek</t>
  </si>
  <si>
    <t>19,86 sek</t>
  </si>
  <si>
    <t>Kompenserende tiltak: Lavt persontall i branncelle</t>
  </si>
  <si>
    <t>22,04 sek</t>
  </si>
  <si>
    <t>Der det står Ingen så har den generert tekst og fyllet på selv verdien eller kategorien</t>
  </si>
  <si>
    <t>M2 (FS)</t>
  </si>
  <si>
    <t>53,96 sek</t>
  </si>
  <si>
    <t xml:space="preserve">Der det står mangel så har den generert tekst men merket som mangel </t>
  </si>
  <si>
    <t>Der det står kritisk så har den ikke generert tekst og bedt brukeren om å gi disse informasjonene for  at modellen skal generere teksten</t>
  </si>
  <si>
    <t>48,50 sek</t>
  </si>
  <si>
    <t>15,33 sek</t>
  </si>
  <si>
    <t>40, 56 sek</t>
  </si>
  <si>
    <t>22,81 sek</t>
  </si>
  <si>
    <t>23,91 sek</t>
  </si>
  <si>
    <t>BEREGNINGER – Recall, Precision og F1 per modell</t>
  </si>
  <si>
    <t>Sum TP</t>
  </si>
  <si>
    <t>Sum FP</t>
  </si>
  <si>
    <t>Sum FN</t>
  </si>
  <si>
    <t>Recall
(TP/(TP+FN))</t>
  </si>
  <si>
    <t>Precision
(TP/(TP+FP))</t>
  </si>
  <si>
    <t>F1-skår</t>
  </si>
  <si>
    <t>Implisitt
hallusinerte</t>
  </si>
  <si>
    <t>TOTALT M1 (ZS)</t>
  </si>
  <si>
    <t>TOTALT M2 (FS)</t>
  </si>
  <si>
    <t>Gule celler fylles inn manuelt fra Rådata_ablasjon-arket etter gjennomførte kjøringer.</t>
  </si>
  <si>
    <t>FLAGGINGSKATEGORIER – M1 ZS vs. M2 FS</t>
  </si>
  <si>
    <t>Flaggingskategori</t>
  </si>
  <si>
    <t>M1 ZS</t>
  </si>
  <si>
    <t>M2 FS</t>
  </si>
  <si>
    <t>Beskrivelse</t>
  </si>
  <si>
    <t>Modellen stopper og ber brukeren fylle inn manglende felt</t>
  </si>
  <si>
    <t>Modellen genererer tekst, men merker feltet med [MANGLER: ...]</t>
  </si>
  <si>
    <t>INGEN (stille antakelse)</t>
  </si>
  <si>
    <t>Totalt</t>
  </si>
  <si>
    <t>KONSISTENS MELLOM KJØRINGER – TP OG FN PER KJØRING</t>
  </si>
  <si>
    <t>Case</t>
  </si>
  <si>
    <t>Kjøring 1</t>
  </si>
  <si>
    <t>Kjøring 2</t>
  </si>
  <si>
    <t>Konsistent?</t>
  </si>
  <si>
    <t>TP</t>
  </si>
  <si>
    <t>FN</t>
  </si>
  <si>
    <t>Konsistent = JA betyr at TP og FN er identiske mellom kjøring 1 og kjøring 2 for samme case og modell.</t>
  </si>
  <si>
    <t>Atferdstype Type 1, 2 eller 3</t>
  </si>
  <si>
    <t>Type 2</t>
  </si>
  <si>
    <t xml:space="preserve">Stille hallusinasjon </t>
  </si>
  <si>
    <t>Ærlig markering</t>
  </si>
  <si>
    <t>Type 1</t>
  </si>
  <si>
    <t>Type 3</t>
  </si>
  <si>
    <t xml:space="preserve">Stille utelatelse </t>
  </si>
  <si>
    <t>Fant på RK3 uten grunnlag</t>
  </si>
  <si>
    <t>Flagget [MANGLER]</t>
  </si>
  <si>
    <t>Flagget [MANGLER: brannalarmkategori]</t>
  </si>
  <si>
    <t>Flagget [MANGLER: risikoklasse]</t>
  </si>
  <si>
    <t>Flagget [MANGLER: brannklasse]</t>
  </si>
  <si>
    <t>Modellen nevner ikke dette feltet. Stille utelatelse.</t>
  </si>
  <si>
    <t>Modellen stopper og ber brukeren oppgi manglende informasjon før generering fortsetter.</t>
  </si>
  <si>
    <t>Modellen fylte Manglede inndata selv. Fant på RK 3 uten grunnlag</t>
  </si>
  <si>
    <t>Modellen fylte Manglede inndata selv. Fant på BKL 1 uten grunnlag</t>
  </si>
  <si>
    <t>Modellen fylte Manglede inndata selv. Fant på brannalarmanlegg kategori 2 uten grunnlag</t>
  </si>
  <si>
    <t>Flagget [MANGLER: brannklasse ikke oppgitt]</t>
  </si>
  <si>
    <t>Flagget [MANGLER: kategori]</t>
  </si>
  <si>
    <t>Ikke omtalt. Stille utelatelse</t>
  </si>
  <si>
    <t>Modellen stopper og spør om risikoklasse og brannklasse, men etterspør ikke kompenserende tiltak. Tiltaket er ikke identifisert som manglende. Stille utelatelse i spørrefasen.</t>
  </si>
  <si>
    <t>Modellen angir risikoklasse 3 uten grunnlag i inndataene. Stille hallusinasjon.</t>
  </si>
  <si>
    <t>Brannklasse er ikke omtalt i outputen. Ingen [MANGLER]-markering eller annen indikasjon. Stille utelatelse.</t>
  </si>
  <si>
    <t>Modellen beskriver brannalarmanlegg kategori 2 uten grunnlag i inndataene. Stille hallusinasjon.</t>
  </si>
  <si>
    <t>Modellen spør om dette for å fortsette generering</t>
  </si>
  <si>
    <t>«Modellens flagg?» er rett og slett et ja/nei-svar på spørsmålet:</t>
  </si>
  <si>
    <t>«Kommuniserte modellen noe om denne mangelen — på noen som helst måte?»</t>
  </si>
  <si>
    <r>
      <t>JA</t>
    </r>
    <r>
      <rPr>
        <sz val="11"/>
        <color theme="1"/>
        <rFont val="Calibri"/>
        <family val="2"/>
        <charset val="1"/>
      </rPr>
      <t xml:space="preserve"> = modellen sa ifra, enten ved å stoppe eller ved å markere i teksten</t>
    </r>
  </si>
  <si>
    <r>
      <t>NEI</t>
    </r>
    <r>
      <rPr>
        <sz val="11"/>
        <color theme="1"/>
        <rFont val="Calibri"/>
        <family val="2"/>
        <charset val="1"/>
      </rPr>
      <t xml:space="preserve"> = modellen sa ingenting om mangelen, uansett om den hallusinerte eller bare utelot</t>
    </r>
  </si>
  <si>
    <t>Modellen antar en verdi og fortsetter uten varsling og Modellen hopper over feltet stille.</t>
  </si>
  <si>
    <t xml:space="preserve">⬛ Gule celler =Fasit som er fjernet  |    Kritisk = Ja → modellen skal stoppe og spørre   </t>
  </si>
  <si>
    <t>Gjennomsnitt av Recall
(TP/(TP+FN))</t>
  </si>
  <si>
    <t>Summer av Precision
(TP/(TP+FP))</t>
  </si>
  <si>
    <t>Summer av F1-skår</t>
  </si>
  <si>
    <t>Recall per case og modell – M1 ZS vs. M2 FS</t>
  </si>
  <si>
    <t>F1-skår per case og modell – M1 ZS vs. M2 FS</t>
  </si>
  <si>
    <t xml:space="preserve">Precision per case og modell – M1 ZS vs. M2 FS </t>
  </si>
  <si>
    <t>Checkliste for å sjekke modellens flagg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</si>
</sst>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0"/>
      <color rgb="FF595959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8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E4D2B"/>
      </patternFill>
    </fill>
    <fill>
      <patternFill patternType="solid">
        <fgColor rgb="FFD6E4F0"/>
        <bgColor rgb="FFDBEEF4"/>
      </patternFill>
    </fill>
    <fill>
      <patternFill patternType="solid">
        <fgColor rgb="FFFFFF00"/>
        <bgColor rgb="FFFAC090"/>
      </patternFill>
    </fill>
    <fill>
      <patternFill patternType="solid">
        <fgColor rgb="FFFFFFFF"/>
        <bgColor rgb="FFF2F2F2"/>
      </patternFill>
    </fill>
    <fill>
      <patternFill patternType="solid">
        <fgColor rgb="FF1E4D2B"/>
        <bgColor rgb="FF375623"/>
      </patternFill>
    </fill>
    <fill>
      <patternFill patternType="solid">
        <fgColor theme="6" tint="0.79989013336588644"/>
        <bgColor rgb="FFE2EFDA"/>
      </patternFill>
    </fill>
    <fill>
      <patternFill patternType="solid">
        <fgColor theme="6" tint="0.39988402966399123"/>
        <bgColor rgb="FFCCCCCC"/>
      </patternFill>
    </fill>
    <fill>
      <patternFill patternType="solid">
        <fgColor theme="7" tint="0.79989013336588644"/>
        <bgColor rgb="FFD6E4F0"/>
      </patternFill>
    </fill>
    <fill>
      <patternFill patternType="solid">
        <fgColor theme="7" tint="0.39988402966399123"/>
        <bgColor rgb="FFB3B3B3"/>
      </patternFill>
    </fill>
    <fill>
      <patternFill patternType="solid">
        <fgColor theme="5" tint="0.59987182226020086"/>
        <bgColor rgb="FFFAC090"/>
      </patternFill>
    </fill>
    <fill>
      <patternFill patternType="solid">
        <fgColor theme="8" tint="0.79989013336588644"/>
        <bgColor rgb="FFD6E4F0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9" tint="0.79989013336588644"/>
        <bgColor rgb="FFFCE4D6"/>
      </patternFill>
    </fill>
    <fill>
      <patternFill patternType="solid">
        <fgColor theme="9" tint="0.39988402966399123"/>
        <bgColor rgb="FFE6B9B8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BF1DE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BF1DE"/>
      </patternFill>
    </fill>
    <fill>
      <patternFill patternType="solid">
        <fgColor rgb="FFFCE4D6"/>
        <bgColor rgb="FFFDEADA"/>
      </patternFill>
    </fill>
    <fill>
      <patternFill patternType="solid">
        <fgColor theme="6" tint="-0.249977111117893"/>
        <bgColor rgb="FFE2EFDA"/>
      </patternFill>
    </fill>
    <fill>
      <patternFill patternType="solid">
        <fgColor theme="6" tint="-0.249977111117893"/>
        <bgColor rgb="FFCCCCCC"/>
      </patternFill>
    </fill>
    <fill>
      <patternFill patternType="solid">
        <fgColor theme="7" tint="-0.249977111117893"/>
        <bgColor rgb="FFD6E4F0"/>
      </patternFill>
    </fill>
    <fill>
      <patternFill patternType="solid">
        <fgColor theme="7" tint="-0.249977111117893"/>
        <bgColor rgb="FFB3B3B3"/>
      </patternFill>
    </fill>
    <fill>
      <patternFill patternType="solid">
        <fgColor theme="8" tint="-0.249977111117893"/>
        <bgColor rgb="FFD6E4F0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9" tint="-0.249977111117893"/>
        <bgColor rgb="FFE6B9B8"/>
      </patternFill>
    </fill>
    <fill>
      <patternFill patternType="solid">
        <fgColor theme="8" tint="-0.499984740745262"/>
        <bgColor rgb="FFD6E4F0"/>
      </patternFill>
    </fill>
    <fill>
      <patternFill patternType="solid">
        <fgColor theme="8" tint="-0.499984740745262"/>
        <b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2B2BE"/>
        <bgColor indexed="64"/>
      </patternFill>
    </fill>
    <fill>
      <patternFill patternType="solid">
        <fgColor theme="2"/>
        <bgColor indexed="64"/>
      </patternFill>
    </fill>
  </fills>
  <borders count="7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/>
      <top style="thin">
        <color rgb="FFCCCCCC"/>
      </top>
      <bottom style="medium">
        <color auto="1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medium">
        <color auto="1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medium">
        <color auto="1"/>
      </bottom>
      <diagonal/>
    </border>
    <border>
      <left/>
      <right style="thin">
        <color rgb="FFCCCCCC"/>
      </right>
      <top style="medium">
        <color auto="1"/>
      </top>
      <bottom/>
      <diagonal/>
    </border>
    <border>
      <left style="thin">
        <color rgb="FFCCCCCC"/>
      </left>
      <right style="thin">
        <color rgb="FFCCCCCC"/>
      </right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CCCCCC"/>
      </right>
      <top style="medium">
        <color auto="1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medium">
        <color indexed="64"/>
      </bottom>
      <diagonal/>
    </border>
    <border>
      <left style="thin">
        <color rgb="FFCCCCCC"/>
      </left>
      <right/>
      <top style="medium">
        <color auto="1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theme="1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12" borderId="14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6" fillId="14" borderId="19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164" fontId="7" fillId="17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/>
    </xf>
    <xf numFmtId="0" fontId="5" fillId="0" borderId="0" xfId="0" applyFont="1"/>
    <xf numFmtId="0" fontId="11" fillId="5" borderId="20" xfId="0" applyFont="1" applyFill="1" applyBorder="1" applyAlignment="1">
      <alignment horizontal="center" vertical="center"/>
    </xf>
    <xf numFmtId="0" fontId="11" fillId="17" borderId="2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3" xfId="0" applyBorder="1"/>
    <xf numFmtId="0" fontId="0" fillId="0" borderId="26" xfId="0" applyBorder="1"/>
    <xf numFmtId="0" fontId="0" fillId="0" borderId="28" xfId="0" applyBorder="1"/>
    <xf numFmtId="0" fontId="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9" borderId="33" xfId="0" applyFont="1" applyFill="1" applyBorder="1" applyAlignment="1">
      <alignment horizontal="center" vertical="center" wrapText="1"/>
    </xf>
    <xf numFmtId="0" fontId="6" fillId="9" borderId="34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5" fillId="21" borderId="7" xfId="0" applyFont="1" applyFill="1" applyBorder="1" applyAlignment="1">
      <alignment horizontal="center" vertical="center" wrapText="1"/>
    </xf>
    <xf numFmtId="0" fontId="15" fillId="21" borderId="8" xfId="0" applyFont="1" applyFill="1" applyBorder="1" applyAlignment="1">
      <alignment horizontal="center" vertical="center" wrapText="1"/>
    </xf>
    <xf numFmtId="0" fontId="15" fillId="23" borderId="3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3" fillId="9" borderId="35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6" fillId="12" borderId="33" xfId="0" applyFont="1" applyFill="1" applyBorder="1" applyAlignment="1">
      <alignment horizontal="center" vertical="center" wrapText="1"/>
    </xf>
    <xf numFmtId="0" fontId="6" fillId="12" borderId="3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15" fillId="25" borderId="33" xfId="0" applyFont="1" applyFill="1" applyBorder="1" applyAlignment="1">
      <alignment horizontal="center" vertical="center" wrapText="1"/>
    </xf>
    <xf numFmtId="0" fontId="15" fillId="26" borderId="8" xfId="0" applyFont="1" applyFill="1" applyBorder="1" applyAlignment="1">
      <alignment horizontal="center" vertical="center" wrapText="1"/>
    </xf>
    <xf numFmtId="0" fontId="13" fillId="14" borderId="15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  <xf numFmtId="0" fontId="14" fillId="21" borderId="7" xfId="0" applyFont="1" applyFill="1" applyBorder="1" applyAlignment="1">
      <alignment horizontal="center" vertical="center" wrapText="1"/>
    </xf>
    <xf numFmtId="0" fontId="14" fillId="22" borderId="7" xfId="0" applyFont="1" applyFill="1" applyBorder="1" applyAlignment="1">
      <alignment horizontal="center" vertical="center" wrapText="1"/>
    </xf>
    <xf numFmtId="0" fontId="14" fillId="23" borderId="32" xfId="0" applyFont="1" applyFill="1" applyBorder="1" applyAlignment="1">
      <alignment horizontal="center" vertical="center" wrapText="1"/>
    </xf>
    <xf numFmtId="0" fontId="14" fillId="24" borderId="32" xfId="0" applyFont="1" applyFill="1" applyBorder="1" applyAlignment="1">
      <alignment horizontal="center" vertical="center" wrapText="1"/>
    </xf>
    <xf numFmtId="0" fontId="14" fillId="28" borderId="32" xfId="0" applyFont="1" applyFill="1" applyBorder="1" applyAlignment="1">
      <alignment horizontal="center" vertical="center" wrapText="1"/>
    </xf>
    <xf numFmtId="0" fontId="14" fillId="29" borderId="36" xfId="0" applyFont="1" applyFill="1" applyBorder="1" applyAlignment="1">
      <alignment horizontal="center" vertical="center" wrapText="1"/>
    </xf>
    <xf numFmtId="0" fontId="14" fillId="28" borderId="36" xfId="0" applyFont="1" applyFill="1" applyBorder="1" applyAlignment="1">
      <alignment horizontal="center" vertical="center" wrapText="1"/>
    </xf>
    <xf numFmtId="0" fontId="14" fillId="9" borderId="33" xfId="0" applyFont="1" applyFill="1" applyBorder="1" applyAlignment="1">
      <alignment horizontal="center" vertical="center" wrapText="1"/>
    </xf>
    <xf numFmtId="0" fontId="14" fillId="12" borderId="33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4" fillId="26" borderId="36" xfId="0" applyFont="1" applyFill="1" applyBorder="1" applyAlignment="1">
      <alignment horizontal="center" vertical="center" wrapText="1"/>
    </xf>
    <xf numFmtId="0" fontId="3" fillId="14" borderId="33" xfId="0" applyFont="1" applyFill="1" applyBorder="1" applyAlignment="1">
      <alignment horizontal="center" vertical="center" wrapText="1"/>
    </xf>
    <xf numFmtId="0" fontId="14" fillId="27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pivotButton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1" fillId="32" borderId="37" xfId="0" applyFont="1" applyFill="1" applyBorder="1" applyAlignment="1">
      <alignment horizontal="center"/>
    </xf>
    <xf numFmtId="0" fontId="21" fillId="32" borderId="31" xfId="0" applyFont="1" applyFill="1" applyBorder="1" applyAlignment="1">
      <alignment horizontal="center"/>
    </xf>
    <xf numFmtId="0" fontId="21" fillId="32" borderId="38" xfId="0" applyFont="1" applyFill="1" applyBorder="1" applyAlignment="1">
      <alignment horizontal="center"/>
    </xf>
    <xf numFmtId="0" fontId="21" fillId="31" borderId="37" xfId="0" applyFont="1" applyFill="1" applyBorder="1" applyAlignment="1">
      <alignment horizontal="center"/>
    </xf>
    <xf numFmtId="0" fontId="21" fillId="31" borderId="31" xfId="0" applyFont="1" applyFill="1" applyBorder="1" applyAlignment="1">
      <alignment horizontal="center"/>
    </xf>
    <xf numFmtId="0" fontId="21" fillId="31" borderId="38" xfId="0" applyFont="1" applyFill="1" applyBorder="1" applyAlignment="1">
      <alignment horizontal="center"/>
    </xf>
    <xf numFmtId="0" fontId="21" fillId="30" borderId="37" xfId="0" applyFont="1" applyFill="1" applyBorder="1" applyAlignment="1">
      <alignment horizontal="center"/>
    </xf>
    <xf numFmtId="0" fontId="21" fillId="30" borderId="31" xfId="0" applyFont="1" applyFill="1" applyBorder="1" applyAlignment="1">
      <alignment horizontal="center"/>
    </xf>
    <xf numFmtId="0" fontId="21" fillId="30" borderId="38" xfId="0" applyFont="1" applyFill="1" applyBorder="1" applyAlignment="1">
      <alignment horizontal="center"/>
    </xf>
    <xf numFmtId="0" fontId="1" fillId="16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16" fillId="0" borderId="42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0" fillId="0" borderId="43" xfId="0" applyBorder="1" applyAlignment="1">
      <alignment horizontal="left"/>
    </xf>
    <xf numFmtId="0" fontId="17" fillId="0" borderId="42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7" fillId="0" borderId="44" xfId="0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0" fillId="33" borderId="37" xfId="0" applyFill="1" applyBorder="1" applyAlignment="1">
      <alignment horizontal="center" vertical="center" wrapText="1"/>
    </xf>
    <xf numFmtId="0" fontId="0" fillId="33" borderId="31" xfId="0" applyFill="1" applyBorder="1" applyAlignment="1">
      <alignment horizontal="center" vertical="center" wrapText="1"/>
    </xf>
    <xf numFmtId="0" fontId="0" fillId="33" borderId="38" xfId="0" applyFill="1" applyBorder="1" applyAlignment="1">
      <alignment horizontal="center" vertical="center" wrapText="1"/>
    </xf>
    <xf numFmtId="0" fontId="8" fillId="0" borderId="47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164" fontId="8" fillId="0" borderId="35" xfId="0" applyNumberFormat="1" applyFont="1" applyBorder="1" applyAlignment="1">
      <alignment horizontal="center"/>
    </xf>
    <xf numFmtId="164" fontId="8" fillId="0" borderId="48" xfId="0" applyNumberFormat="1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0" borderId="50" xfId="0" applyNumberFormat="1" applyFont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3" fillId="17" borderId="47" xfId="0" applyFont="1" applyFill="1" applyBorder="1" applyAlignment="1">
      <alignment horizontal="center" vertical="center" wrapText="1"/>
    </xf>
    <xf numFmtId="0" fontId="3" fillId="17" borderId="35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164" fontId="7" fillId="17" borderId="35" xfId="0" applyNumberFormat="1" applyFont="1" applyFill="1" applyBorder="1" applyAlignment="1">
      <alignment horizontal="center"/>
    </xf>
    <xf numFmtId="0" fontId="3" fillId="4" borderId="48" xfId="0" applyFont="1" applyFill="1" applyBorder="1" applyAlignment="1">
      <alignment horizontal="center" vertical="center" wrapText="1"/>
    </xf>
    <xf numFmtId="0" fontId="3" fillId="5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3" fillId="17" borderId="51" xfId="0" applyFont="1" applyFill="1" applyBorder="1" applyAlignment="1">
      <alignment horizontal="center" vertical="center" wrapText="1"/>
    </xf>
    <xf numFmtId="0" fontId="3" fillId="5" borderId="4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 vertical="center" wrapText="1"/>
    </xf>
    <xf numFmtId="0" fontId="2" fillId="16" borderId="53" xfId="0" applyFont="1" applyFill="1" applyBorder="1" applyAlignment="1">
      <alignment horizontal="center" vertical="center" wrapText="1"/>
    </xf>
    <xf numFmtId="0" fontId="2" fillId="16" borderId="33" xfId="0" applyFont="1" applyFill="1" applyBorder="1" applyAlignment="1">
      <alignment horizontal="center" vertical="center" wrapText="1"/>
    </xf>
    <xf numFmtId="0" fontId="2" fillId="16" borderId="54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/>
    </xf>
    <xf numFmtId="0" fontId="11" fillId="5" borderId="56" xfId="0" applyFont="1" applyFill="1" applyBorder="1" applyAlignment="1">
      <alignment horizontal="left" vertical="center"/>
    </xf>
    <xf numFmtId="0" fontId="11" fillId="17" borderId="55" xfId="0" applyFont="1" applyFill="1" applyBorder="1" applyAlignment="1">
      <alignment horizontal="center" vertical="center"/>
    </xf>
    <xf numFmtId="0" fontId="11" fillId="17" borderId="56" xfId="0" applyFont="1" applyFill="1" applyBorder="1" applyAlignment="1">
      <alignment horizontal="left" vertical="center"/>
    </xf>
    <xf numFmtId="0" fontId="11" fillId="5" borderId="56" xfId="0" applyFont="1" applyFill="1" applyBorder="1" applyAlignment="1">
      <alignment horizontal="left" vertical="center" wrapText="1"/>
    </xf>
    <xf numFmtId="0" fontId="10" fillId="19" borderId="57" xfId="0" applyFont="1" applyFill="1" applyBorder="1" applyAlignment="1">
      <alignment horizontal="center" vertical="center"/>
    </xf>
    <xf numFmtId="0" fontId="10" fillId="19" borderId="58" xfId="0" applyFont="1" applyFill="1" applyBorder="1" applyAlignment="1">
      <alignment horizontal="center" vertical="center"/>
    </xf>
    <xf numFmtId="0" fontId="0" fillId="19" borderId="46" xfId="0" applyFill="1" applyBorder="1"/>
    <xf numFmtId="0" fontId="9" fillId="18" borderId="59" xfId="0" applyFont="1" applyFill="1" applyBorder="1" applyAlignment="1">
      <alignment horizontal="center" vertical="center"/>
    </xf>
    <xf numFmtId="0" fontId="9" fillId="18" borderId="60" xfId="0" applyFont="1" applyFill="1" applyBorder="1" applyAlignment="1">
      <alignment horizontal="center" vertical="center"/>
    </xf>
    <xf numFmtId="0" fontId="9" fillId="18" borderId="6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9" fillId="18" borderId="62" xfId="0" applyFont="1" applyFill="1" applyBorder="1" applyAlignment="1">
      <alignment horizontal="center" vertical="center"/>
    </xf>
    <xf numFmtId="0" fontId="10" fillId="5" borderId="63" xfId="0" applyFont="1" applyFill="1" applyBorder="1" applyAlignment="1">
      <alignment horizontal="left" vertical="center"/>
    </xf>
    <xf numFmtId="0" fontId="10" fillId="17" borderId="63" xfId="0" applyFont="1" applyFill="1" applyBorder="1" applyAlignment="1">
      <alignment horizontal="left" vertical="center"/>
    </xf>
    <xf numFmtId="0" fontId="10" fillId="19" borderId="64" xfId="0" applyFont="1" applyFill="1" applyBorder="1" applyAlignment="1">
      <alignment horizontal="left" vertical="center"/>
    </xf>
    <xf numFmtId="0" fontId="9" fillId="18" borderId="39" xfId="0" applyFont="1" applyFill="1" applyBorder="1" applyAlignment="1">
      <alignment horizontal="center" vertical="center"/>
    </xf>
    <xf numFmtId="0" fontId="9" fillId="18" borderId="41" xfId="0" applyFont="1" applyFill="1" applyBorder="1" applyAlignment="1">
      <alignment horizontal="center" vertical="center"/>
    </xf>
    <xf numFmtId="0" fontId="9" fillId="18" borderId="43" xfId="0" applyFont="1" applyFill="1" applyBorder="1" applyAlignment="1">
      <alignment horizontal="center" vertical="center"/>
    </xf>
    <xf numFmtId="0" fontId="9" fillId="18" borderId="44" xfId="0" applyFont="1" applyFill="1" applyBorder="1" applyAlignment="1">
      <alignment horizontal="center" vertical="center"/>
    </xf>
    <xf numFmtId="0" fontId="9" fillId="18" borderId="46" xfId="0" applyFont="1" applyFill="1" applyBorder="1" applyAlignment="1">
      <alignment horizontal="center" vertical="center"/>
    </xf>
    <xf numFmtId="0" fontId="9" fillId="18" borderId="37" xfId="0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horizontal="center" vertical="center"/>
    </xf>
    <xf numFmtId="0" fontId="9" fillId="18" borderId="38" xfId="0" applyFont="1" applyFill="1" applyBorder="1" applyAlignment="1">
      <alignment horizontal="center" vertical="center"/>
    </xf>
    <xf numFmtId="0" fontId="9" fillId="18" borderId="65" xfId="0" applyFont="1" applyFill="1" applyBorder="1" applyAlignment="1">
      <alignment horizontal="center" vertical="center"/>
    </xf>
    <xf numFmtId="0" fontId="9" fillId="18" borderId="66" xfId="0" applyFont="1" applyFill="1" applyBorder="1" applyAlignment="1">
      <alignment horizontal="center" vertical="center"/>
    </xf>
    <xf numFmtId="0" fontId="9" fillId="18" borderId="67" xfId="0" applyFont="1" applyFill="1" applyBorder="1" applyAlignment="1">
      <alignment horizontal="center" vertical="center"/>
    </xf>
    <xf numFmtId="0" fontId="9" fillId="18" borderId="68" xfId="0" applyFont="1" applyFill="1" applyBorder="1" applyAlignment="1">
      <alignment horizontal="center" vertical="center"/>
    </xf>
    <xf numFmtId="0" fontId="11" fillId="5" borderId="69" xfId="0" applyFont="1" applyFill="1" applyBorder="1" applyAlignment="1">
      <alignment horizontal="center" vertical="center"/>
    </xf>
    <xf numFmtId="0" fontId="11" fillId="5" borderId="70" xfId="0" applyFont="1" applyFill="1" applyBorder="1" applyAlignment="1">
      <alignment horizontal="center" vertical="center"/>
    </xf>
    <xf numFmtId="0" fontId="11" fillId="5" borderId="71" xfId="0" applyFont="1" applyFill="1" applyBorder="1" applyAlignment="1">
      <alignment horizontal="center" vertical="center"/>
    </xf>
    <xf numFmtId="0" fontId="11" fillId="5" borderId="72" xfId="0" applyFont="1" applyFill="1" applyBorder="1" applyAlignment="1">
      <alignment horizontal="center" vertical="center"/>
    </xf>
    <xf numFmtId="0" fontId="11" fillId="5" borderId="73" xfId="0" applyFont="1" applyFill="1" applyBorder="1" applyAlignment="1">
      <alignment horizontal="center" vertical="center"/>
    </xf>
    <xf numFmtId="0" fontId="19" fillId="20" borderId="74" xfId="0" applyFont="1" applyFill="1" applyBorder="1" applyAlignment="1">
      <alignment horizontal="center" vertical="center"/>
    </xf>
    <xf numFmtId="0" fontId="11" fillId="17" borderId="65" xfId="0" applyFont="1" applyFill="1" applyBorder="1" applyAlignment="1">
      <alignment horizontal="center" vertical="center"/>
    </xf>
    <xf numFmtId="0" fontId="11" fillId="17" borderId="75" xfId="0" applyFont="1" applyFill="1" applyBorder="1" applyAlignment="1">
      <alignment horizontal="center" vertical="center"/>
    </xf>
    <xf numFmtId="0" fontId="11" fillId="17" borderId="66" xfId="0" applyFont="1" applyFill="1" applyBorder="1" applyAlignment="1">
      <alignment horizontal="center" vertical="center"/>
    </xf>
    <xf numFmtId="0" fontId="11" fillId="17" borderId="67" xfId="0" applyFont="1" applyFill="1" applyBorder="1" applyAlignment="1">
      <alignment horizontal="center" vertical="center"/>
    </xf>
    <xf numFmtId="0" fontId="11" fillId="17" borderId="76" xfId="0" applyFont="1" applyFill="1" applyBorder="1" applyAlignment="1">
      <alignment horizontal="center" vertical="center"/>
    </xf>
    <xf numFmtId="0" fontId="19" fillId="20" borderId="21" xfId="0" applyFont="1" applyFill="1" applyBorder="1" applyAlignment="1">
      <alignment horizontal="center" vertical="center"/>
    </xf>
    <xf numFmtId="0" fontId="19" fillId="20" borderId="77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border diagonalUp="0" diagonalDown="0">
        <left style="thin">
          <color rgb="FFCCCCCC"/>
        </left>
        <right style="thin">
          <color rgb="FFCCCCCC"/>
        </right>
        <top/>
        <bottom/>
        <vertical style="thin">
          <color rgb="FFCCCCCC"/>
        </vertical>
        <horizontal/>
      </border>
    </dxf>
    <dxf>
      <border>
        <bottom style="medium">
          <color indexed="64"/>
        </bottom>
      </border>
    </dxf>
    <dxf>
      <border diagonalUp="0" diagonalDown="0">
        <left style="thin">
          <color rgb="FFCCCCCC"/>
        </left>
        <right style="medium">
          <color indexed="64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border diagonalUp="0" diagonalDown="0">
        <left style="medium">
          <color indexed="64"/>
        </left>
        <right style="thin">
          <color rgb="FFCCCCCC"/>
        </right>
        <top style="thin">
          <color rgb="FFCCCCCC"/>
        </top>
        <bottom style="thin">
          <color rgb="FFCCCCCC"/>
        </bottom>
        <vertical style="thin">
          <color rgb="FFCCCCCC"/>
        </vertical>
        <horizontal style="thin">
          <color rgb="FFCCCCCC"/>
        </horizontal>
      </border>
    </dxf>
    <dxf>
      <fill>
        <patternFill>
          <bgColor rgb="FF92D050"/>
        </patternFill>
      </fill>
    </dxf>
    <dxf>
      <fill>
        <patternFill>
          <bgColor rgb="FFFF3B3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CE4D6"/>
          <bgColor theme="9" tint="0.7998901333658864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EBF1DE"/>
      <rgbColor rgb="FFDBEEF4"/>
      <rgbColor rgb="FF660066"/>
      <rgbColor rgb="FFE6E0EC"/>
      <rgbColor rgb="FF0066CC"/>
      <rgbColor rgb="FFCCCCC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DEADA"/>
      <rgbColor rgb="FF93CDDD"/>
      <rgbColor rgb="FFE6B9B8"/>
      <rgbColor rgb="FFB3A2C7"/>
      <rgbColor rgb="FFFAC090"/>
      <rgbColor rgb="FF2E75B6"/>
      <rgbColor rgb="FF33CCCC"/>
      <rgbColor rgb="FFC3D69B"/>
      <rgbColor rgb="FFFCE4D6"/>
      <rgbColor rgb="FFFF9900"/>
      <rgbColor rgb="FFED7D31"/>
      <rgbColor rgb="FF595959"/>
      <rgbColor rgb="FFB3B3B3"/>
      <rgbColor rgb="FF003366"/>
      <rgbColor rgb="FF339966"/>
      <rgbColor rgb="FF003300"/>
      <rgbColor rgb="FF375623"/>
      <rgbColor rgb="FF993300"/>
      <rgbColor rgb="FF993366"/>
      <rgbColor rgb="FF1F4E79"/>
      <rgbColor rgb="FF1E4D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2B2BE"/>
      <color rgb="FFDDC5D3"/>
      <color rgb="FFE4D2DF"/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[Ablasjonslogg_Masteroppgave NY (2).xlsx]Recall!Pivottabell32</c:name>
    <c:fmtId val="0"/>
  </c:pivotSource>
  <c:chart>
    <c:autoTitleDeleted val="1"/>
    <c:pivotFmts>
      <c:pivotFmt>
        <c:idx val="0"/>
        <c:spPr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Recall!$C$3</c:f>
              <c:strCache>
                <c:ptCount val="1"/>
                <c:pt idx="0">
                  <c:v>Totalt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Recall!$A$4:$B$9</c:f>
              <c:multiLvlStrCache>
                <c:ptCount val="6"/>
                <c:lvl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C1</c:v>
                  </c:pt>
                  <c:pt idx="4">
                    <c:v>C2</c:v>
                  </c:pt>
                  <c:pt idx="5">
                    <c:v>C3</c:v>
                  </c:pt>
                </c:lvl>
                <c:lvl>
                  <c:pt idx="0">
                    <c:v>M1 (ZS)</c:v>
                  </c:pt>
                  <c:pt idx="3">
                    <c:v>M2 (FS)</c:v>
                  </c:pt>
                </c:lvl>
              </c:multiLvlStrCache>
            </c:multiLvlStrRef>
          </c:cat>
          <c:val>
            <c:numRef>
              <c:f>Recall!$C$4:$C$9</c:f>
              <c:numCache>
                <c:formatCode>0.0%</c:formatCode>
                <c:ptCount val="6"/>
                <c:pt idx="0">
                  <c:v>1</c:v>
                </c:pt>
                <c:pt idx="1">
                  <c:v>0.83333333333333337</c:v>
                </c:pt>
                <c:pt idx="2">
                  <c:v>1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E-4DA2-978E-8BE22855BE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0838232"/>
        <c:axId val="1010836072"/>
      </c:barChart>
      <c:catAx>
        <c:axId val="101083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10836072"/>
        <c:crosses val="autoZero"/>
        <c:auto val="1"/>
        <c:lblAlgn val="ctr"/>
        <c:lblOffset val="100"/>
        <c:noMultiLvlLbl val="0"/>
      </c:catAx>
      <c:valAx>
        <c:axId val="101083607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010838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2">
            <a:tint val="50000"/>
          </a:schemeClr>
        </a:gs>
        <a:gs pos="35000">
          <a:schemeClr val="accent2">
            <a:tint val="37000"/>
          </a:schemeClr>
        </a:gs>
        <a:gs pos="100000">
          <a:schemeClr val="accent2">
            <a:tint val="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[Ablasjonslogg_Masteroppgave NY (2).xlsx]Precision!Pivottabell47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Precision!$C$3</c:f>
              <c:strCache>
                <c:ptCount val="1"/>
                <c:pt idx="0">
                  <c:v>Totalt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Precision!$A$4:$B$9</c:f>
              <c:multiLvlStrCache>
                <c:ptCount val="6"/>
                <c:lvl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C1</c:v>
                  </c:pt>
                  <c:pt idx="4">
                    <c:v>C2</c:v>
                  </c:pt>
                  <c:pt idx="5">
                    <c:v>C3</c:v>
                  </c:pt>
                </c:lvl>
                <c:lvl>
                  <c:pt idx="0">
                    <c:v>M1 (ZS)</c:v>
                  </c:pt>
                  <c:pt idx="3">
                    <c:v>M2 (FS)</c:v>
                  </c:pt>
                </c:lvl>
              </c:multiLvlStrCache>
            </c:multiLvlStrRef>
          </c:cat>
          <c:val>
            <c:numRef>
              <c:f>Precision!$C$4:$C$9</c:f>
              <c:numCache>
                <c:formatCode>0.0%</c:formatCode>
                <c:ptCount val="6"/>
                <c:pt idx="0">
                  <c:v>0.33333333333333331</c:v>
                </c:pt>
                <c:pt idx="1">
                  <c:v>1</c:v>
                </c:pt>
                <c:pt idx="2">
                  <c:v>1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A-4C49-AC43-1A9DB8F56F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6"/>
        <c:overlap val="-27"/>
        <c:axId val="2090736408"/>
        <c:axId val="2090738568"/>
      </c:barChart>
      <c:catAx>
        <c:axId val="209073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090738568"/>
        <c:crosses val="autoZero"/>
        <c:auto val="1"/>
        <c:lblAlgn val="ctr"/>
        <c:lblOffset val="100"/>
        <c:tickMarkSkip val="1"/>
        <c:noMultiLvlLbl val="0"/>
      </c:catAx>
      <c:valAx>
        <c:axId val="209073856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209073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6">
            <a:tint val="50000"/>
          </a:schemeClr>
        </a:gs>
        <a:gs pos="35000">
          <a:schemeClr val="accent6">
            <a:tint val="37000"/>
          </a:schemeClr>
        </a:gs>
        <a:gs pos="100000">
          <a:schemeClr val="accent6">
            <a:tint val="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[Ablasjonslogg_Masteroppgave NY (2).xlsx]F1 Score!Pivottabell17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>
              <a:lumMod val="5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3">
              <a:lumMod val="50000"/>
            </a:schemeClr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'F1 Score'!$C$3</c:f>
              <c:strCache>
                <c:ptCount val="1"/>
                <c:pt idx="0">
                  <c:v>Totalt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'F1 Score'!$A$4:$B$9</c:f>
              <c:multiLvlStrCache>
                <c:ptCount val="6"/>
                <c:lvl>
                  <c:pt idx="0">
                    <c:v>C1</c:v>
                  </c:pt>
                  <c:pt idx="1">
                    <c:v>C2</c:v>
                  </c:pt>
                  <c:pt idx="2">
                    <c:v>C3</c:v>
                  </c:pt>
                  <c:pt idx="3">
                    <c:v>C1</c:v>
                  </c:pt>
                  <c:pt idx="4">
                    <c:v>C2</c:v>
                  </c:pt>
                  <c:pt idx="5">
                    <c:v>C3</c:v>
                  </c:pt>
                </c:lvl>
                <c:lvl>
                  <c:pt idx="0">
                    <c:v>M1 (ZS)</c:v>
                  </c:pt>
                  <c:pt idx="3">
                    <c:v>M2 (FS)</c:v>
                  </c:pt>
                </c:lvl>
              </c:multiLvlStrCache>
            </c:multiLvlStrRef>
          </c:cat>
          <c:val>
            <c:numRef>
              <c:f>'F1 Score'!$C$4:$C$9</c:f>
              <c:numCache>
                <c:formatCode>0.0%</c:formatCode>
                <c:ptCount val="6"/>
                <c:pt idx="0">
                  <c:v>0.5</c:v>
                </c:pt>
                <c:pt idx="1">
                  <c:v>0.90909090909090906</c:v>
                </c:pt>
                <c:pt idx="2">
                  <c:v>1</c:v>
                </c:pt>
                <c:pt idx="3">
                  <c:v>0.5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29-4F63-9E5E-B009A233D9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9042480"/>
        <c:axId val="1029036000"/>
      </c:barChart>
      <c:catAx>
        <c:axId val="102904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29036000"/>
        <c:crosses val="autoZero"/>
        <c:auto val="1"/>
        <c:lblAlgn val="ctr"/>
        <c:lblOffset val="100"/>
        <c:noMultiLvlLbl val="0"/>
      </c:catAx>
      <c:valAx>
        <c:axId val="1029036000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2904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3">
            <a:tint val="50000"/>
          </a:schemeClr>
        </a:gs>
        <a:gs pos="35000">
          <a:schemeClr val="accent3">
            <a:tint val="37000"/>
          </a:schemeClr>
        </a:gs>
        <a:gs pos="100000">
          <a:schemeClr val="accent3">
            <a:tint val="15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'Flaggingskategorier (2)'!$B$2</c:f>
              <c:strCache>
                <c:ptCount val="1"/>
                <c:pt idx="0">
                  <c:v>M1 ZS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stdErr"/>
            <c:noEndCap val="0"/>
          </c:errBars>
          <c:cat>
            <c:strRef>
              <c:f>'Flaggingskategorier (2)'!$A$3:$A$5</c:f>
              <c:strCache>
                <c:ptCount val="3"/>
                <c:pt idx="0">
                  <c:v>KRITISK</c:v>
                </c:pt>
                <c:pt idx="1">
                  <c:v>MANGEL</c:v>
                </c:pt>
                <c:pt idx="2">
                  <c:v>INGEN (stille antakelse)</c:v>
                </c:pt>
              </c:strCache>
            </c:strRef>
          </c:cat>
          <c:val>
            <c:numRef>
              <c:f>'Flaggingskategorier (2)'!$B$3:$B$5</c:f>
              <c:numCache>
                <c:formatCode>General</c:formatCode>
                <c:ptCount val="3"/>
                <c:pt idx="0">
                  <c:v>9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C-4035-A23C-6CACB5F3750C}"/>
            </c:ext>
          </c:extLst>
        </c:ser>
        <c:ser>
          <c:idx val="1"/>
          <c:order val="1"/>
          <c:tx>
            <c:strRef>
              <c:f>'Flaggingskategorier (2)'!$C$2</c:f>
              <c:strCache>
                <c:ptCount val="1"/>
                <c:pt idx="0">
                  <c:v>M2 FS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stdErr"/>
            <c:noEndCap val="0"/>
          </c:errBars>
          <c:cat>
            <c:strRef>
              <c:f>'Flaggingskategorier (2)'!$A$3:$A$5</c:f>
              <c:strCache>
                <c:ptCount val="3"/>
                <c:pt idx="0">
                  <c:v>KRITISK</c:v>
                </c:pt>
                <c:pt idx="1">
                  <c:v>MANGEL</c:v>
                </c:pt>
                <c:pt idx="2">
                  <c:v>INGEN (stille antakelse)</c:v>
                </c:pt>
              </c:strCache>
            </c:strRef>
          </c:cat>
          <c:val>
            <c:numRef>
              <c:f>'Flaggingskategorier (2)'!$C$3:$C$5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C-4035-A23C-6CACB5F375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3470351"/>
        <c:axId val="8533260"/>
      </c:barChart>
      <c:catAx>
        <c:axId val="53470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chemeClr val="tx1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nb-NO"/>
          </a:p>
        </c:txPr>
        <c:crossAx val="8533260"/>
        <c:crosses val="autoZero"/>
        <c:auto val="1"/>
        <c:lblAlgn val="ctr"/>
        <c:lblOffset val="100"/>
        <c:noMultiLvlLbl val="0"/>
      </c:catAx>
      <c:valAx>
        <c:axId val="85332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4703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>
        <a:lumMod val="85000"/>
      </a:schemeClr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9</xdr:row>
      <xdr:rowOff>0</xdr:rowOff>
    </xdr:from>
    <xdr:to>
      <xdr:col>17</xdr:col>
      <xdr:colOff>0</xdr:colOff>
      <xdr:row>28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6ABBB44-5ADE-9DBC-BA8F-D95BD824E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250C205-21C6-7DB0-7D55-76B665EDB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</xdr:row>
      <xdr:rowOff>0</xdr:rowOff>
    </xdr:from>
    <xdr:to>
      <xdr:col>19</xdr:col>
      <xdr:colOff>9525</xdr:colOff>
      <xdr:row>33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5E105FF-C96A-1AF2-083F-9DE4B72F4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239783</xdr:colOff>
      <xdr:row>5</xdr:row>
      <xdr:rowOff>220732</xdr:rowOff>
    </xdr:from>
    <xdr:ext cx="3772508" cy="374141"/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823B9562-76F0-5D85-2609-84634E9636CC}"/>
            </a:ext>
          </a:extLst>
        </xdr:cNvPr>
        <xdr:cNvSpPr txBox="1"/>
      </xdr:nvSpPr>
      <xdr:spPr>
        <a:xfrm>
          <a:off x="11263935" y="1819275"/>
          <a:ext cx="377250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b-NO" sz="1800" b="1"/>
            <a:t>Flaggingskategorier</a:t>
          </a:r>
          <a:r>
            <a:rPr lang="nb-NO" sz="1800" b="1" baseline="0"/>
            <a:t> - M1 ZS vs. M2 FS</a:t>
          </a:r>
          <a:endParaRPr lang="nb-NO" sz="1800" b="1"/>
        </a:p>
      </xdr:txBody>
    </xdr:sp>
    <xdr:clientData/>
  </xdr:oneCellAnchor>
  <xdr:twoCellAnchor>
    <xdr:from>
      <xdr:col>9</xdr:col>
      <xdr:colOff>132522</xdr:colOff>
      <xdr:row>7</xdr:row>
      <xdr:rowOff>115956</xdr:rowOff>
    </xdr:from>
    <xdr:to>
      <xdr:col>18</xdr:col>
      <xdr:colOff>173937</xdr:colOff>
      <xdr:row>7</xdr:row>
      <xdr:rowOff>115956</xdr:rowOff>
    </xdr:to>
    <xdr:cxnSp macro="">
      <xdr:nvCxnSpPr>
        <xdr:cNvPr id="8" name="Rett linje 7">
          <a:extLst>
            <a:ext uri="{FF2B5EF4-FFF2-40B4-BE49-F238E27FC236}">
              <a16:creationId xmlns:a16="http://schemas.microsoft.com/office/drawing/2014/main" id="{D69E8488-A006-F800-CB44-14CAFF30416A}"/>
            </a:ext>
          </a:extLst>
        </xdr:cNvPr>
        <xdr:cNvCxnSpPr/>
      </xdr:nvCxnSpPr>
      <xdr:spPr>
        <a:xfrm flipH="1">
          <a:off x="10576892" y="2178326"/>
          <a:ext cx="525945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Rezaie" refreshedDate="46150.746570370371" createdVersion="8" refreshedVersion="8" minRefreshableVersion="3" recordCount="6" xr:uid="{4F6740C2-853F-4365-A92D-0213CE6CF365}">
  <cacheSource type="worksheet">
    <worksheetSource name="TabRecall26"/>
  </cacheSource>
  <cacheFields count="9">
    <cacheField name="Case-ID" numFmtId="0">
      <sharedItems count="3">
        <s v="C1"/>
        <s v="C2"/>
        <s v="C3"/>
      </sharedItems>
    </cacheField>
    <cacheField name="Modell" numFmtId="0">
      <sharedItems count="2">
        <s v="M1 (ZS)"/>
        <s v="M2 (FS)"/>
      </sharedItems>
    </cacheField>
    <cacheField name="Sum TP" numFmtId="0">
      <sharedItems containsSemiMixedTypes="0" containsString="0" containsNumber="1" containsInteger="1" minValue="2" maxValue="6"/>
    </cacheField>
    <cacheField name="Sum FP" numFmtId="0">
      <sharedItems containsSemiMixedTypes="0" containsString="0" containsNumber="1" containsInteger="1" minValue="0" maxValue="4"/>
    </cacheField>
    <cacheField name="Sum FN" numFmtId="0">
      <sharedItems containsSemiMixedTypes="0" containsString="0" containsNumber="1" containsInteger="1" minValue="0" maxValue="2"/>
    </cacheField>
    <cacheField name="Recall_x000a_(TP/(TP+FN))" numFmtId="164">
      <sharedItems containsSemiMixedTypes="0" containsString="0" containsNumber="1" minValue="0.66666666666666663" maxValue="1" count="3">
        <n v="1"/>
        <n v="0.66666666666666663"/>
        <n v="0.83333333333333337"/>
      </sharedItems>
    </cacheField>
    <cacheField name="Precision_x000a_(TP/(TP+FP))" numFmtId="164">
      <sharedItems containsSemiMixedTypes="0" containsString="0" containsNumber="1" minValue="0.33333333333333331" maxValue="1"/>
    </cacheField>
    <cacheField name="F1-skår" numFmtId="164">
      <sharedItems containsSemiMixedTypes="0" containsString="0" containsNumber="1" minValue="0.5" maxValue="1"/>
    </cacheField>
    <cacheField name="Implisitt_x000a_hallusinert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Rezaie" refreshedDate="46150.750106944448" createdVersion="8" refreshedVersion="8" minRefreshableVersion="3" recordCount="6" xr:uid="{C304EEED-691A-433D-832D-319946F1A6AB}">
  <cacheSource type="worksheet">
    <worksheetSource name="TabRecall26"/>
  </cacheSource>
  <cacheFields count="9">
    <cacheField name="Case-ID" numFmtId="0">
      <sharedItems count="3">
        <s v="C1"/>
        <s v="C2"/>
        <s v="C3"/>
      </sharedItems>
    </cacheField>
    <cacheField name="Modell" numFmtId="0">
      <sharedItems count="2">
        <s v="M1 (ZS)"/>
        <s v="M2 (FS)"/>
      </sharedItems>
    </cacheField>
    <cacheField name="Sum TP" numFmtId="0">
      <sharedItems containsSemiMixedTypes="0" containsString="0" containsNumber="1" containsInteger="1" minValue="2" maxValue="6"/>
    </cacheField>
    <cacheField name="Sum FP" numFmtId="0">
      <sharedItems containsSemiMixedTypes="0" containsString="0" containsNumber="1" containsInteger="1" minValue="0" maxValue="4"/>
    </cacheField>
    <cacheField name="Sum FN" numFmtId="0">
      <sharedItems containsSemiMixedTypes="0" containsString="0" containsNumber="1" containsInteger="1" minValue="0" maxValue="2"/>
    </cacheField>
    <cacheField name="Recall_x000a_(TP/(TP+FN))" numFmtId="164">
      <sharedItems containsSemiMixedTypes="0" containsString="0" containsNumber="1" minValue="0.66666666666666663" maxValue="1"/>
    </cacheField>
    <cacheField name="Precision_x000a_(TP/(TP+FP))" numFmtId="164">
      <sharedItems containsSemiMixedTypes="0" containsString="0" containsNumber="1" minValue="0.33333333333333331" maxValue="1"/>
    </cacheField>
    <cacheField name="F1-skår" numFmtId="164">
      <sharedItems containsSemiMixedTypes="0" containsString="0" containsNumber="1" minValue="0.5" maxValue="1"/>
    </cacheField>
    <cacheField name="Implisitt_x000a_hallusinert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Rezaie" refreshedDate="46150.750954166666" createdVersion="8" refreshedVersion="8" minRefreshableVersion="3" recordCount="6" xr:uid="{20702507-2951-4BDC-83B7-3EB4575C8409}">
  <cacheSource type="worksheet">
    <worksheetSource name="TabRecall26"/>
  </cacheSource>
  <cacheFields count="9">
    <cacheField name="Case-ID" numFmtId="0">
      <sharedItems count="3">
        <s v="C1"/>
        <s v="C2"/>
        <s v="C3"/>
      </sharedItems>
    </cacheField>
    <cacheField name="Modell" numFmtId="0">
      <sharedItems count="2">
        <s v="M1 (ZS)"/>
        <s v="M2 (FS)"/>
      </sharedItems>
    </cacheField>
    <cacheField name="Sum TP" numFmtId="0">
      <sharedItems containsSemiMixedTypes="0" containsString="0" containsNumber="1" containsInteger="1" minValue="2" maxValue="6" count="4">
        <n v="2"/>
        <n v="5"/>
        <n v="4"/>
        <n v="6"/>
      </sharedItems>
    </cacheField>
    <cacheField name="Sum FP" numFmtId="0">
      <sharedItems containsSemiMixedTypes="0" containsString="0" containsNumber="1" containsInteger="1" minValue="0" maxValue="4" count="3">
        <n v="4"/>
        <n v="3"/>
        <n v="0"/>
      </sharedItems>
    </cacheField>
    <cacheField name="Sum FN" numFmtId="0">
      <sharedItems containsSemiMixedTypes="0" containsString="0" containsNumber="1" containsInteger="1" minValue="0" maxValue="2" count="3">
        <n v="0"/>
        <n v="1"/>
        <n v="2"/>
      </sharedItems>
    </cacheField>
    <cacheField name="Recall_x000a_(TP/(TP+FN))" numFmtId="164">
      <sharedItems containsSemiMixedTypes="0" containsString="0" containsNumber="1" minValue="0.66666666666666663" maxValue="1"/>
    </cacheField>
    <cacheField name="Precision_x000a_(TP/(TP+FP))" numFmtId="164">
      <sharedItems containsSemiMixedTypes="0" containsString="0" containsNumber="1" minValue="0.33333333333333331" maxValue="1"/>
    </cacheField>
    <cacheField name="F1-skår" numFmtId="164">
      <sharedItems containsSemiMixedTypes="0" containsString="0" containsNumber="1" minValue="0.5" maxValue="1"/>
    </cacheField>
    <cacheField name="Implisitt_x000a_hallusinert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"/>
    <n v="4"/>
    <n v="0"/>
    <x v="0"/>
    <n v="0.33333333333333331"/>
    <n v="0.5"/>
    <n v="4"/>
  </r>
  <r>
    <x v="0"/>
    <x v="1"/>
    <n v="2"/>
    <n v="3"/>
    <n v="1"/>
    <x v="1"/>
    <n v="0.4"/>
    <n v="0.5"/>
    <n v="3"/>
  </r>
  <r>
    <x v="1"/>
    <x v="0"/>
    <n v="5"/>
    <n v="0"/>
    <n v="1"/>
    <x v="2"/>
    <n v="1"/>
    <n v="0.90909090909090906"/>
    <n v="0"/>
  </r>
  <r>
    <x v="1"/>
    <x v="1"/>
    <n v="4"/>
    <n v="0"/>
    <n v="2"/>
    <x v="1"/>
    <n v="1"/>
    <n v="0.8"/>
    <n v="0"/>
  </r>
  <r>
    <x v="2"/>
    <x v="0"/>
    <n v="6"/>
    <n v="0"/>
    <n v="0"/>
    <x v="0"/>
    <n v="1"/>
    <n v="1"/>
    <n v="0"/>
  </r>
  <r>
    <x v="2"/>
    <x v="1"/>
    <n v="4"/>
    <n v="0"/>
    <n v="2"/>
    <x v="1"/>
    <n v="1"/>
    <n v="0.8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"/>
    <n v="4"/>
    <n v="0"/>
    <n v="1"/>
    <n v="0.33333333333333331"/>
    <n v="0.5"/>
    <n v="4"/>
  </r>
  <r>
    <x v="0"/>
    <x v="1"/>
    <n v="2"/>
    <n v="3"/>
    <n v="1"/>
    <n v="0.66666666666666663"/>
    <n v="0.4"/>
    <n v="0.5"/>
    <n v="3"/>
  </r>
  <r>
    <x v="1"/>
    <x v="0"/>
    <n v="5"/>
    <n v="0"/>
    <n v="1"/>
    <n v="0.83333333333333337"/>
    <n v="1"/>
    <n v="0.90909090909090906"/>
    <n v="0"/>
  </r>
  <r>
    <x v="1"/>
    <x v="1"/>
    <n v="4"/>
    <n v="0"/>
    <n v="2"/>
    <n v="0.66666666666666663"/>
    <n v="1"/>
    <n v="0.8"/>
    <n v="0"/>
  </r>
  <r>
    <x v="2"/>
    <x v="0"/>
    <n v="6"/>
    <n v="0"/>
    <n v="0"/>
    <n v="1"/>
    <n v="1"/>
    <n v="1"/>
    <n v="0"/>
  </r>
  <r>
    <x v="2"/>
    <x v="1"/>
    <n v="4"/>
    <n v="0"/>
    <n v="2"/>
    <n v="0.66666666666666663"/>
    <n v="1"/>
    <n v="0.8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x v="0"/>
    <n v="1"/>
    <n v="0.33333333333333331"/>
    <n v="0.5"/>
    <n v="4"/>
  </r>
  <r>
    <x v="0"/>
    <x v="1"/>
    <x v="0"/>
    <x v="1"/>
    <x v="1"/>
    <n v="0.66666666666666663"/>
    <n v="0.4"/>
    <n v="0.5"/>
    <n v="3"/>
  </r>
  <r>
    <x v="1"/>
    <x v="0"/>
    <x v="1"/>
    <x v="2"/>
    <x v="1"/>
    <n v="0.83333333333333337"/>
    <n v="1"/>
    <n v="0.90909090909090906"/>
    <n v="0"/>
  </r>
  <r>
    <x v="1"/>
    <x v="1"/>
    <x v="2"/>
    <x v="2"/>
    <x v="2"/>
    <n v="0.66666666666666663"/>
    <n v="1"/>
    <n v="0.8"/>
    <n v="0"/>
  </r>
  <r>
    <x v="2"/>
    <x v="0"/>
    <x v="3"/>
    <x v="2"/>
    <x v="0"/>
    <n v="1"/>
    <n v="1"/>
    <n v="1"/>
    <n v="0"/>
  </r>
  <r>
    <x v="2"/>
    <x v="1"/>
    <x v="2"/>
    <x v="2"/>
    <x v="2"/>
    <n v="0.66666666666666663"/>
    <n v="1"/>
    <n v="0.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1B66E-881F-42C9-BC41-6CB58B956785}" name="Pivottabell32" cacheId="1" applyNumberFormats="0" applyBorderFormats="0" applyFontFormats="0" applyPatternFormats="0" applyAlignmentFormats="0" applyWidthHeightFormats="1" dataCaption="Verdier" updatedVersion="8" minRefreshableVersion="3" useAutoFormatting="1" rowGrandTotals="0" colGrandTotals="0" itemPrintTitles="1" createdVersion="8" indent="0" compact="0" compactData="0" multipleFieldFilters="0" chartFormat="1">
  <location ref="A3:C9" firstHeaderRow="1" firstDataRow="1" firstDataCol="2"/>
  <pivotFields count="9"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6">
    <i>
      <x/>
      <x/>
    </i>
    <i r="1">
      <x v="1"/>
    </i>
    <i r="1">
      <x v="2"/>
    </i>
    <i>
      <x v="1"/>
      <x/>
    </i>
    <i r="1">
      <x v="1"/>
    </i>
    <i r="1">
      <x v="2"/>
    </i>
  </rowItems>
  <colItems count="1">
    <i/>
  </colItems>
  <dataFields count="1">
    <dataField name="Gjennomsnitt av Recall_x000a_(TP/(TP+FN))" fld="5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5CE24-3069-4C8C-9919-3D85ADDC8588}" name="Pivottabell47" cacheId="2" applyNumberFormats="0" applyBorderFormats="0" applyFontFormats="0" applyPatternFormats="0" applyAlignmentFormats="0" applyWidthHeightFormats="1" dataCaption="Verdier" updatedVersion="8" minRefreshableVersion="3" useAutoFormatting="1" rowGrandTotals="0" colGrandTotals="0" itemPrintTitles="1" createdVersion="8" indent="0" compact="0" compactData="0" multipleFieldFilters="0" chartFormat="3">
  <location ref="A3:C9" firstHeaderRow="1" firstDataRow="1" firstDataCol="2"/>
  <pivotFields count="9"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6">
    <i>
      <x/>
      <x/>
    </i>
    <i r="1">
      <x v="1"/>
    </i>
    <i r="1">
      <x v="2"/>
    </i>
    <i>
      <x v="1"/>
      <x/>
    </i>
    <i r="1">
      <x v="1"/>
    </i>
    <i r="1">
      <x v="2"/>
    </i>
  </rowItems>
  <colItems count="1">
    <i/>
  </colItems>
  <dataFields count="1">
    <dataField name="Summer av Precision_x000a_(TP/(TP+FP))" fld="6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72860-9155-4FAA-AF9A-E8116540E046}" name="Pivottabell17" cacheId="0" applyNumberFormats="0" applyBorderFormats="0" applyFontFormats="0" applyPatternFormats="0" applyAlignmentFormats="0" applyWidthHeightFormats="1" dataCaption="Verdier" updatedVersion="8" minRefreshableVersion="3" useAutoFormatting="1" rowGrandTotals="0" colGrandTotals="0" itemPrintTitles="1" createdVersion="8" indent="0" compact="0" compactData="0" multipleFieldFilters="0" chartFormat="20">
  <location ref="A3:C9" firstHeaderRow="1" firstDataRow="1" firstDataCol="2"/>
  <pivotFields count="9"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6">
    <i>
      <x/>
      <x/>
    </i>
    <i r="1">
      <x v="1"/>
    </i>
    <i r="1">
      <x v="2"/>
    </i>
    <i>
      <x v="1"/>
      <x/>
    </i>
    <i r="1">
      <x v="1"/>
    </i>
    <i r="1">
      <x v="2"/>
    </i>
  </rowItems>
  <colItems count="1">
    <i/>
  </colItems>
  <dataFields count="1">
    <dataField name="Summer av F1-skår" fld="7" baseField="0" baseItem="0" numFmtId="164"/>
  </dataFields>
  <chartFormats count="2">
    <chartFormat chart="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5F0853-1797-4C6D-8C46-F022787B1F5B}" name="TABRdata5" displayName="TABRdata5" ref="A3:M51" totalsRowShown="0">
  <autoFilter ref="A3:M51" xr:uid="{00000000-0009-0000-0100-000001000000}"/>
  <tableColumns count="13">
    <tableColumn id="1" xr3:uid="{988ECC8E-3344-4EBC-B42D-DFD8FB372EBA}" name="Case-ID"/>
    <tableColumn id="2" xr3:uid="{EB9702AD-311E-4158-BF41-47CF9C0DADC1}" name="Modell"/>
    <tableColumn id="3" xr3:uid="{AA45E819-BD31-4224-A14D-1F4FD20B975F}" name="Kjøring_x000a_(1 eller 2)"/>
    <tableColumn id="4" xr3:uid="{ADE525F4-6EA0-4212-BEA9-255A3DB43425}" name="Tid"/>
    <tableColumn id="5" xr3:uid="{91DF48EC-210C-4786-8EBE-83BE9372CD67}" name="Felt tømt_x000a_(fra fasitlogg)"/>
    <tableColumn id="6" xr3:uid="{1BBC694B-CD31-4468-81CA-25F6DAC0FB18}" name="Modellens_x000a_flagg?"/>
    <tableColumn id="7" xr3:uid="{C04DA855-FBCB-41B8-AA56-EA2B8D405E08}" name="Type flagg_x000a_(KRITISK/_x000a_MANGLER/ingen)"/>
    <tableColumn id="8" xr3:uid="{0E52444C-BE9A-4CE7-BF43-ACD561CB4D84}" name="True Positive_x000a_(TP)"/>
    <tableColumn id="9" xr3:uid="{B46E5800-FE62-4E66-A051-2EEC8E4A509E}" name="False Positive_x000a_(FP)"/>
    <tableColumn id="10" xr3:uid="{E0696A42-5D01-4F07-9456-8D37AB682D02}" name="False Negative_x000a_(FN)"/>
    <tableColumn id="14" xr3:uid="{8D4976FC-4B11-47E9-973B-310A623D3037}" name="Atferdstype Type 1, 2 eller 3" dataDxfId="13"/>
    <tableColumn id="11" xr3:uid="{765FF057-BDDA-4431-AF58-CFFD342FCDCF}" name="Implisitt_x000a_hallusinert?"/>
    <tableColumn id="12" xr3:uid="{878710CB-3F0B-4551-9F7B-796FC9A349AC}" name="Notat / observasj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201A3D-296C-4AEB-9165-DF1D112E502F}" name="TabRecall26" displayName="TabRecall26" ref="A3:I9" totalsRowShown="0" headerRowDxfId="0" headerRowBorderDxfId="1">
  <autoFilter ref="A3:I9" xr:uid="{00000000-0009-0000-0100-000003000000}"/>
  <tableColumns count="9">
    <tableColumn id="1" xr3:uid="{0EA3A5AB-81F4-4C59-900F-84178C970EDA}" name="Case-ID" dataDxfId="10"/>
    <tableColumn id="2" xr3:uid="{3EA80852-F00E-46B6-8B54-C323AF423CA1}" name="Modell" dataDxfId="9"/>
    <tableColumn id="3" xr3:uid="{9BD22D07-F31D-4C4B-8CB9-7E74374F8200}" name="Sum TP" dataDxfId="8"/>
    <tableColumn id="4" xr3:uid="{9203ACF4-08E1-4BE9-9920-F7D689E244CE}" name="Sum FP" dataDxfId="7"/>
    <tableColumn id="5" xr3:uid="{F716DEBF-09C9-4CA5-B95D-814CC512252C}" name="Sum FN" dataDxfId="6"/>
    <tableColumn id="6" xr3:uid="{1F486F60-D652-4764-AB43-CBAD5AD8D5B5}" name="Recall_x000a_(TP/(TP+FN))" dataDxfId="5">
      <calculatedColumnFormula>IFERROR(C4/(C4+E4),"-")</calculatedColumnFormula>
    </tableColumn>
    <tableColumn id="7" xr3:uid="{FB3DA023-4D7A-4D80-87E8-892FA9E7B013}" name="Precision_x000a_(TP/(TP+FP))" dataDxfId="4">
      <calculatedColumnFormula>IFERROR(C4/(C4+D4),"-")</calculatedColumnFormula>
    </tableColumn>
    <tableColumn id="8" xr3:uid="{E75B088D-C894-4E84-BA9C-7CD6BB5CE95F}" name="F1-skår" dataDxfId="3">
      <calculatedColumnFormula>IFERROR(2*G4*F4/(G4+F4),"-")</calculatedColumnFormula>
    </tableColumn>
    <tableColumn id="9" xr3:uid="{A4E54D4E-476C-4891-80AC-08D3008BE99E}" name="Implisitt_x000a_hallusiner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showGridLines="0" zoomScaleNormal="100" workbookViewId="0">
      <selection activeCell="C17" sqref="C17"/>
    </sheetView>
  </sheetViews>
  <sheetFormatPr baseColWidth="10" defaultColWidth="8.7109375" defaultRowHeight="15" x14ac:dyDescent="0.25"/>
  <cols>
    <col min="1" max="1" width="8" customWidth="1"/>
    <col min="2" max="2" width="14" customWidth="1"/>
    <col min="3" max="3" width="30" customWidth="1"/>
    <col min="4" max="4" width="22" customWidth="1"/>
    <col min="5" max="6" width="18" customWidth="1"/>
  </cols>
  <sheetData>
    <row r="1" spans="1:9" ht="36" customHeight="1" x14ac:dyDescent="0.25">
      <c r="A1" s="166" t="s">
        <v>0</v>
      </c>
      <c r="B1" s="166"/>
      <c r="C1" s="166"/>
      <c r="D1" s="166"/>
      <c r="E1" s="166"/>
      <c r="F1" s="166"/>
    </row>
    <row r="2" spans="1:9" ht="15" customHeight="1" x14ac:dyDescent="0.25"/>
    <row r="3" spans="1:9" ht="31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9" ht="21.75" customHeight="1" x14ac:dyDescent="0.25">
      <c r="A4" s="3" t="s">
        <v>7</v>
      </c>
      <c r="B4" s="3" t="s">
        <v>8</v>
      </c>
      <c r="C4" s="3" t="s">
        <v>9</v>
      </c>
      <c r="D4" s="4">
        <v>3</v>
      </c>
      <c r="E4" s="3" t="s">
        <v>10</v>
      </c>
      <c r="F4" s="5" t="s">
        <v>11</v>
      </c>
    </row>
    <row r="5" spans="1:9" ht="21.75" customHeight="1" x14ac:dyDescent="0.25">
      <c r="A5" s="6" t="s">
        <v>7</v>
      </c>
      <c r="B5" s="6" t="s">
        <v>12</v>
      </c>
      <c r="C5" s="6" t="s">
        <v>13</v>
      </c>
      <c r="D5" s="4">
        <v>1</v>
      </c>
      <c r="E5" s="6" t="s">
        <v>10</v>
      </c>
      <c r="F5" s="7" t="s">
        <v>11</v>
      </c>
    </row>
    <row r="6" spans="1:9" ht="30" customHeight="1" thickBot="1" x14ac:dyDescent="0.3">
      <c r="A6" s="161" t="s">
        <v>7</v>
      </c>
      <c r="B6" s="161" t="s">
        <v>14</v>
      </c>
      <c r="C6" s="161" t="s">
        <v>15</v>
      </c>
      <c r="D6" s="18" t="s">
        <v>16</v>
      </c>
      <c r="E6" s="161" t="s">
        <v>17</v>
      </c>
      <c r="F6" s="162" t="s">
        <v>11</v>
      </c>
    </row>
    <row r="7" spans="1:9" ht="21.75" customHeight="1" x14ac:dyDescent="0.25">
      <c r="A7" s="159" t="s">
        <v>18</v>
      </c>
      <c r="B7" s="159" t="s">
        <v>8</v>
      </c>
      <c r="C7" s="159" t="s">
        <v>9</v>
      </c>
      <c r="D7" s="24">
        <v>6</v>
      </c>
      <c r="E7" s="159" t="s">
        <v>10</v>
      </c>
      <c r="F7" s="160" t="s">
        <v>11</v>
      </c>
    </row>
    <row r="8" spans="1:9" ht="21.75" customHeight="1" x14ac:dyDescent="0.25">
      <c r="A8" s="6" t="s">
        <v>18</v>
      </c>
      <c r="B8" s="6" t="s">
        <v>12</v>
      </c>
      <c r="C8" s="6" t="s">
        <v>13</v>
      </c>
      <c r="D8" s="4">
        <v>3</v>
      </c>
      <c r="E8" s="6" t="s">
        <v>10</v>
      </c>
      <c r="F8" s="7" t="s">
        <v>11</v>
      </c>
    </row>
    <row r="9" spans="1:9" ht="30" customHeight="1" thickBot="1" x14ac:dyDescent="0.3">
      <c r="A9" s="161" t="s">
        <v>18</v>
      </c>
      <c r="B9" s="161" t="s">
        <v>14</v>
      </c>
      <c r="C9" s="161" t="s">
        <v>15</v>
      </c>
      <c r="D9" s="18" t="s">
        <v>19</v>
      </c>
      <c r="E9" s="161" t="s">
        <v>17</v>
      </c>
      <c r="F9" s="162" t="s">
        <v>11</v>
      </c>
    </row>
    <row r="10" spans="1:9" ht="21.75" customHeight="1" x14ac:dyDescent="0.25">
      <c r="A10" s="159" t="s">
        <v>20</v>
      </c>
      <c r="B10" s="159" t="s">
        <v>8</v>
      </c>
      <c r="C10" s="159" t="s">
        <v>9</v>
      </c>
      <c r="D10" s="24">
        <v>2</v>
      </c>
      <c r="E10" s="159" t="s">
        <v>10</v>
      </c>
      <c r="F10" s="160" t="s">
        <v>11</v>
      </c>
    </row>
    <row r="11" spans="1:9" ht="21.75" customHeight="1" x14ac:dyDescent="0.25">
      <c r="A11" s="6" t="s">
        <v>20</v>
      </c>
      <c r="B11" s="6" t="s">
        <v>12</v>
      </c>
      <c r="C11" s="6" t="s">
        <v>13</v>
      </c>
      <c r="D11" s="4">
        <v>3</v>
      </c>
      <c r="E11" s="6" t="s">
        <v>10</v>
      </c>
      <c r="F11" s="7" t="s">
        <v>11</v>
      </c>
    </row>
    <row r="12" spans="1:9" ht="21.75" customHeight="1" x14ac:dyDescent="0.25">
      <c r="A12" s="3" t="s">
        <v>20</v>
      </c>
      <c r="B12" s="3" t="s">
        <v>14</v>
      </c>
      <c r="C12" s="3" t="s">
        <v>15</v>
      </c>
      <c r="D12" s="4" t="s">
        <v>21</v>
      </c>
      <c r="E12" s="3" t="s">
        <v>17</v>
      </c>
      <c r="F12" s="5" t="s">
        <v>11</v>
      </c>
    </row>
    <row r="14" spans="1:9" ht="13.5" customHeight="1" x14ac:dyDescent="0.25">
      <c r="A14" s="167" t="s">
        <v>120</v>
      </c>
      <c r="B14" s="167"/>
      <c r="C14" s="167"/>
      <c r="D14" s="167"/>
      <c r="E14" s="167"/>
      <c r="F14" s="167"/>
      <c r="G14" s="163"/>
      <c r="H14" s="163"/>
      <c r="I14" s="163"/>
    </row>
  </sheetData>
  <mergeCells count="2">
    <mergeCell ref="A1:F1"/>
    <mergeCell ref="A14:F14"/>
  </mergeCells>
  <pageMargins left="0.75" right="0.75" top="1" bottom="1" header="0.511811023622047" footer="0.51180555555555596"/>
  <pageSetup paperSize="9" orientation="portrait" horizontalDpi="300" verticalDpi="300"/>
  <headerFooter>
    <oddFooter>&amp;C&amp;"Verdana,Regular"&amp;7 _x005F_x000d_#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9CBD-1882-4470-8FA5-7B920E9F24FD}">
  <dimension ref="A1:AB53"/>
  <sheetViews>
    <sheetView zoomScaleNormal="100" workbookViewId="0">
      <selection activeCell="O35" sqref="O35:Q37"/>
    </sheetView>
  </sheetViews>
  <sheetFormatPr baseColWidth="10" defaultColWidth="10.7109375" defaultRowHeight="15" x14ac:dyDescent="0.25"/>
  <cols>
    <col min="5" max="5" width="21.42578125" customWidth="1"/>
    <col min="7" max="7" width="16.28515625" customWidth="1"/>
    <col min="8" max="8" width="13.5703125" customWidth="1"/>
    <col min="9" max="9" width="14.42578125" customWidth="1"/>
    <col min="10" max="10" width="16.140625" customWidth="1"/>
    <col min="11" max="11" width="17.28515625" customWidth="1"/>
    <col min="12" max="12" width="12.140625" customWidth="1"/>
    <col min="13" max="13" width="42.5703125" customWidth="1"/>
  </cols>
  <sheetData>
    <row r="1" spans="1:13" ht="16.5" customHeight="1" x14ac:dyDescent="0.25">
      <c r="A1" s="172" t="s">
        <v>22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3" spans="1:13" ht="51" customHeight="1" x14ac:dyDescent="0.25">
      <c r="A3" s="8" t="s">
        <v>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90</v>
      </c>
      <c r="L3" s="9" t="s">
        <v>32</v>
      </c>
      <c r="M3" s="10" t="s">
        <v>33</v>
      </c>
    </row>
    <row r="4" spans="1:13" ht="51" customHeight="1" x14ac:dyDescent="0.25">
      <c r="A4" s="11" t="s">
        <v>7</v>
      </c>
      <c r="B4" s="12" t="s">
        <v>34</v>
      </c>
      <c r="C4" s="12" t="s">
        <v>35</v>
      </c>
      <c r="D4" s="12" t="s">
        <v>36</v>
      </c>
      <c r="E4" s="4" t="s">
        <v>8</v>
      </c>
      <c r="F4" s="13" t="s">
        <v>37</v>
      </c>
      <c r="G4" s="4" t="s">
        <v>38</v>
      </c>
      <c r="H4" s="12">
        <v>0</v>
      </c>
      <c r="I4" s="12">
        <v>1</v>
      </c>
      <c r="J4" s="12">
        <v>0</v>
      </c>
      <c r="K4" s="12" t="s">
        <v>94</v>
      </c>
      <c r="L4" s="12" t="s">
        <v>39</v>
      </c>
      <c r="M4" s="97" t="s">
        <v>97</v>
      </c>
    </row>
    <row r="5" spans="1:13" x14ac:dyDescent="0.25">
      <c r="A5" s="11" t="s">
        <v>7</v>
      </c>
      <c r="B5" s="12" t="s">
        <v>34</v>
      </c>
      <c r="C5" s="12">
        <v>1</v>
      </c>
      <c r="D5" s="14" t="s">
        <v>40</v>
      </c>
      <c r="E5" s="4" t="s">
        <v>12</v>
      </c>
      <c r="F5" s="13" t="s">
        <v>39</v>
      </c>
      <c r="G5" s="4" t="s">
        <v>41</v>
      </c>
      <c r="H5" s="12">
        <v>1</v>
      </c>
      <c r="I5" s="12">
        <v>0</v>
      </c>
      <c r="J5" s="12">
        <v>0</v>
      </c>
      <c r="K5" s="12" t="s">
        <v>91</v>
      </c>
      <c r="L5" s="12" t="s">
        <v>37</v>
      </c>
      <c r="M5" s="97" t="s">
        <v>98</v>
      </c>
    </row>
    <row r="6" spans="1:13" ht="39" customHeight="1" thickBot="1" x14ac:dyDescent="0.3">
      <c r="A6" s="15" t="s">
        <v>7</v>
      </c>
      <c r="B6" s="16" t="s">
        <v>34</v>
      </c>
      <c r="C6" s="16" t="s">
        <v>35</v>
      </c>
      <c r="D6" s="17" t="s">
        <v>40</v>
      </c>
      <c r="E6" s="18" t="s">
        <v>42</v>
      </c>
      <c r="F6" s="19" t="s">
        <v>39</v>
      </c>
      <c r="G6" s="18" t="s">
        <v>41</v>
      </c>
      <c r="H6" s="16">
        <v>1</v>
      </c>
      <c r="I6" s="16">
        <v>0</v>
      </c>
      <c r="J6" s="16">
        <v>0</v>
      </c>
      <c r="K6" s="16" t="s">
        <v>91</v>
      </c>
      <c r="L6" s="16" t="s">
        <v>37</v>
      </c>
      <c r="M6" s="98" t="s">
        <v>99</v>
      </c>
    </row>
    <row r="7" spans="1:13" ht="15.75" thickBot="1" x14ac:dyDescent="0.3">
      <c r="A7" s="145" t="s">
        <v>7</v>
      </c>
      <c r="B7" s="104" t="s">
        <v>34</v>
      </c>
      <c r="C7" s="20"/>
      <c r="D7" s="95"/>
      <c r="E7" s="91"/>
      <c r="F7" s="93"/>
      <c r="G7" s="94" t="s">
        <v>81</v>
      </c>
      <c r="H7" s="112">
        <v>2</v>
      </c>
      <c r="I7" s="113">
        <v>1</v>
      </c>
      <c r="J7" s="113">
        <v>0</v>
      </c>
      <c r="K7" s="16"/>
      <c r="L7" s="16"/>
      <c r="M7" s="20"/>
    </row>
    <row r="8" spans="1:13" ht="37.5" customHeight="1" x14ac:dyDescent="0.25">
      <c r="A8" s="21" t="s">
        <v>18</v>
      </c>
      <c r="B8" s="22" t="s">
        <v>34</v>
      </c>
      <c r="C8" s="22" t="s">
        <v>35</v>
      </c>
      <c r="D8" s="23" t="s">
        <v>43</v>
      </c>
      <c r="E8" s="24" t="s">
        <v>8</v>
      </c>
      <c r="F8" s="25" t="s">
        <v>39</v>
      </c>
      <c r="G8" s="25" t="s">
        <v>41</v>
      </c>
      <c r="H8" s="22">
        <v>1</v>
      </c>
      <c r="I8" s="22">
        <v>0</v>
      </c>
      <c r="J8" s="22">
        <v>0</v>
      </c>
      <c r="K8" s="22" t="s">
        <v>91</v>
      </c>
      <c r="L8" s="23" t="s">
        <v>37</v>
      </c>
      <c r="M8" s="100" t="s">
        <v>100</v>
      </c>
    </row>
    <row r="9" spans="1:13" ht="38.25" customHeight="1" x14ac:dyDescent="0.25">
      <c r="A9" s="27" t="s">
        <v>18</v>
      </c>
      <c r="B9" s="12" t="s">
        <v>34</v>
      </c>
      <c r="C9" s="12">
        <v>1</v>
      </c>
      <c r="D9" s="14" t="s">
        <v>40</v>
      </c>
      <c r="E9" s="4" t="s">
        <v>12</v>
      </c>
      <c r="F9" s="13" t="s">
        <v>39</v>
      </c>
      <c r="G9" s="13" t="s">
        <v>41</v>
      </c>
      <c r="H9" s="12">
        <v>1</v>
      </c>
      <c r="I9" s="12">
        <v>0</v>
      </c>
      <c r="J9" s="12">
        <v>0</v>
      </c>
      <c r="K9" s="12" t="s">
        <v>91</v>
      </c>
      <c r="L9" s="14" t="s">
        <v>37</v>
      </c>
      <c r="M9" s="97" t="s">
        <v>101</v>
      </c>
    </row>
    <row r="10" spans="1:13" ht="39" customHeight="1" thickBot="1" x14ac:dyDescent="0.3">
      <c r="A10" s="28" t="s">
        <v>18</v>
      </c>
      <c r="B10" s="16" t="s">
        <v>34</v>
      </c>
      <c r="C10" s="16" t="s">
        <v>35</v>
      </c>
      <c r="D10" s="17" t="s">
        <v>40</v>
      </c>
      <c r="E10" s="18" t="s">
        <v>44</v>
      </c>
      <c r="F10" s="19" t="s">
        <v>37</v>
      </c>
      <c r="G10" s="19" t="s">
        <v>38</v>
      </c>
      <c r="H10" s="17">
        <v>0</v>
      </c>
      <c r="I10" s="17">
        <v>0</v>
      </c>
      <c r="J10" s="17">
        <v>1</v>
      </c>
      <c r="K10" s="17" t="s">
        <v>95</v>
      </c>
      <c r="L10" s="17" t="s">
        <v>37</v>
      </c>
      <c r="M10" s="101" t="s">
        <v>102</v>
      </c>
    </row>
    <row r="11" spans="1:13" ht="15.75" thickBot="1" x14ac:dyDescent="0.3">
      <c r="A11" s="146" t="s">
        <v>18</v>
      </c>
      <c r="B11" s="104" t="s">
        <v>34</v>
      </c>
      <c r="C11" s="16"/>
      <c r="D11" s="17"/>
      <c r="E11" s="18"/>
      <c r="F11" s="19"/>
      <c r="G11" s="94" t="s">
        <v>81</v>
      </c>
      <c r="H11" s="112">
        <v>2</v>
      </c>
      <c r="I11" s="113">
        <v>0</v>
      </c>
      <c r="J11" s="113">
        <v>1</v>
      </c>
      <c r="K11" s="17"/>
      <c r="L11" s="17"/>
      <c r="M11" s="29"/>
    </row>
    <row r="12" spans="1:13" ht="51" customHeight="1" x14ac:dyDescent="0.25">
      <c r="A12" s="30" t="s">
        <v>20</v>
      </c>
      <c r="B12" s="22" t="s">
        <v>34</v>
      </c>
      <c r="C12" s="22" t="s">
        <v>35</v>
      </c>
      <c r="D12" s="23" t="s">
        <v>45</v>
      </c>
      <c r="E12" s="24" t="s">
        <v>8</v>
      </c>
      <c r="F12" s="25" t="s">
        <v>39</v>
      </c>
      <c r="G12" s="25" t="s">
        <v>46</v>
      </c>
      <c r="H12" s="22">
        <v>1</v>
      </c>
      <c r="I12" s="22">
        <v>0</v>
      </c>
      <c r="J12" s="22">
        <v>0</v>
      </c>
      <c r="K12" s="102" t="s">
        <v>91</v>
      </c>
      <c r="L12" s="23" t="s">
        <v>37</v>
      </c>
      <c r="M12" s="26" t="s">
        <v>103</v>
      </c>
    </row>
    <row r="13" spans="1:13" ht="25.5" x14ac:dyDescent="0.25">
      <c r="A13" s="11" t="s">
        <v>20</v>
      </c>
      <c r="B13" s="12" t="s">
        <v>34</v>
      </c>
      <c r="C13" s="12">
        <v>1</v>
      </c>
      <c r="D13" s="14" t="s">
        <v>40</v>
      </c>
      <c r="E13" s="4" t="s">
        <v>12</v>
      </c>
      <c r="F13" s="13" t="s">
        <v>39</v>
      </c>
      <c r="G13" s="13" t="s">
        <v>46</v>
      </c>
      <c r="H13" s="12">
        <v>1</v>
      </c>
      <c r="I13" s="12">
        <v>0</v>
      </c>
      <c r="J13" s="12">
        <v>0</v>
      </c>
      <c r="K13" s="103" t="s">
        <v>91</v>
      </c>
      <c r="L13" s="14" t="s">
        <v>37</v>
      </c>
      <c r="M13" s="26" t="s">
        <v>103</v>
      </c>
    </row>
    <row r="14" spans="1:13" ht="54.75" customHeight="1" thickBot="1" x14ac:dyDescent="0.3">
      <c r="A14" s="15" t="s">
        <v>20</v>
      </c>
      <c r="B14" s="16" t="s">
        <v>34</v>
      </c>
      <c r="C14" s="16" t="s">
        <v>35</v>
      </c>
      <c r="D14" s="17" t="s">
        <v>40</v>
      </c>
      <c r="E14" s="18" t="s">
        <v>47</v>
      </c>
      <c r="F14" s="19" t="s">
        <v>39</v>
      </c>
      <c r="G14" s="19" t="s">
        <v>46</v>
      </c>
      <c r="H14" s="16">
        <v>1</v>
      </c>
      <c r="I14" s="16">
        <v>0</v>
      </c>
      <c r="J14" s="16">
        <v>0</v>
      </c>
      <c r="K14" s="104" t="s">
        <v>91</v>
      </c>
      <c r="L14" s="17" t="s">
        <v>37</v>
      </c>
      <c r="M14" s="99" t="s">
        <v>103</v>
      </c>
    </row>
    <row r="15" spans="1:13" ht="15.75" customHeight="1" thickBot="1" x14ac:dyDescent="0.3">
      <c r="A15" s="146" t="s">
        <v>20</v>
      </c>
      <c r="B15" s="104" t="s">
        <v>34</v>
      </c>
      <c r="C15" s="16"/>
      <c r="D15" s="17"/>
      <c r="E15" s="18"/>
      <c r="F15" s="19"/>
      <c r="G15" s="94" t="s">
        <v>81</v>
      </c>
      <c r="H15" s="112">
        <v>3</v>
      </c>
      <c r="I15" s="113">
        <v>0</v>
      </c>
      <c r="J15" s="113">
        <v>0</v>
      </c>
      <c r="K15" s="17"/>
      <c r="L15" s="29"/>
      <c r="M15" s="105"/>
    </row>
    <row r="16" spans="1:13" ht="38.25" customHeight="1" x14ac:dyDescent="0.25">
      <c r="A16" s="31" t="s">
        <v>7</v>
      </c>
      <c r="B16" s="31" t="s">
        <v>34</v>
      </c>
      <c r="C16" s="31">
        <v>2</v>
      </c>
      <c r="D16" s="32" t="s">
        <v>48</v>
      </c>
      <c r="E16" s="4" t="s">
        <v>8</v>
      </c>
      <c r="F16" s="25" t="s">
        <v>37</v>
      </c>
      <c r="G16" s="25" t="s">
        <v>38</v>
      </c>
      <c r="H16" s="31">
        <v>0</v>
      </c>
      <c r="I16" s="31">
        <v>1</v>
      </c>
      <c r="J16" s="31">
        <v>0</v>
      </c>
      <c r="K16" s="115" t="s">
        <v>94</v>
      </c>
      <c r="L16" s="32" t="s">
        <v>39</v>
      </c>
      <c r="M16" s="32" t="s">
        <v>104</v>
      </c>
    </row>
    <row r="17" spans="1:25" ht="25.5" x14ac:dyDescent="0.25">
      <c r="A17" s="33" t="s">
        <v>7</v>
      </c>
      <c r="B17" s="34" t="s">
        <v>34</v>
      </c>
      <c r="C17" s="34">
        <v>2</v>
      </c>
      <c r="D17" s="35" t="s">
        <v>40</v>
      </c>
      <c r="E17" s="4" t="s">
        <v>12</v>
      </c>
      <c r="F17" s="36" t="s">
        <v>37</v>
      </c>
      <c r="G17" s="36" t="s">
        <v>38</v>
      </c>
      <c r="H17" s="34">
        <v>0</v>
      </c>
      <c r="I17" s="34">
        <v>1</v>
      </c>
      <c r="J17" s="34">
        <v>0</v>
      </c>
      <c r="K17" s="116" t="s">
        <v>94</v>
      </c>
      <c r="L17" s="37" t="s">
        <v>39</v>
      </c>
      <c r="M17" s="38" t="s">
        <v>105</v>
      </c>
    </row>
    <row r="18" spans="1:25" ht="50.25" customHeight="1" thickBot="1" x14ac:dyDescent="0.3">
      <c r="A18" s="39" t="s">
        <v>7</v>
      </c>
      <c r="B18" s="39" t="s">
        <v>34</v>
      </c>
      <c r="C18" s="39">
        <v>2</v>
      </c>
      <c r="D18" s="40" t="s">
        <v>40</v>
      </c>
      <c r="E18" s="18" t="s">
        <v>42</v>
      </c>
      <c r="F18" s="19" t="s">
        <v>37</v>
      </c>
      <c r="G18" s="19" t="s">
        <v>38</v>
      </c>
      <c r="H18" s="39">
        <v>0</v>
      </c>
      <c r="I18" s="39">
        <v>1</v>
      </c>
      <c r="J18" s="39">
        <v>0</v>
      </c>
      <c r="K18" s="117" t="s">
        <v>94</v>
      </c>
      <c r="L18" s="41" t="s">
        <v>39</v>
      </c>
      <c r="M18" s="117" t="s">
        <v>106</v>
      </c>
    </row>
    <row r="19" spans="1:25" ht="17.25" customHeight="1" thickBot="1" x14ac:dyDescent="0.3">
      <c r="A19" s="147" t="s">
        <v>7</v>
      </c>
      <c r="B19" s="152" t="s">
        <v>34</v>
      </c>
      <c r="C19" s="106"/>
      <c r="D19" s="106"/>
      <c r="E19" s="107"/>
      <c r="F19" s="108"/>
      <c r="G19" s="111" t="s">
        <v>81</v>
      </c>
      <c r="H19" s="114">
        <v>0</v>
      </c>
      <c r="I19" s="114">
        <v>3</v>
      </c>
      <c r="J19" s="114">
        <v>0</v>
      </c>
      <c r="K19" s="106"/>
      <c r="L19" s="109"/>
      <c r="M19" s="110"/>
    </row>
    <row r="20" spans="1:25" ht="60.75" customHeight="1" x14ac:dyDescent="0.25">
      <c r="A20" s="42" t="s">
        <v>18</v>
      </c>
      <c r="B20" s="43" t="s">
        <v>34</v>
      </c>
      <c r="C20" s="43">
        <v>2</v>
      </c>
      <c r="D20" s="32" t="s">
        <v>49</v>
      </c>
      <c r="E20" s="24" t="s">
        <v>8</v>
      </c>
      <c r="F20" s="44" t="s">
        <v>39</v>
      </c>
      <c r="G20" s="44" t="s">
        <v>46</v>
      </c>
      <c r="H20" s="43">
        <v>1</v>
      </c>
      <c r="I20" s="43">
        <v>0</v>
      </c>
      <c r="J20" s="43">
        <v>0</v>
      </c>
      <c r="K20" s="121" t="s">
        <v>91</v>
      </c>
      <c r="L20" s="45" t="s">
        <v>37</v>
      </c>
      <c r="M20" s="46" t="s">
        <v>103</v>
      </c>
    </row>
    <row r="21" spans="1:25" ht="25.5" x14ac:dyDescent="0.25">
      <c r="A21" s="47" t="s">
        <v>18</v>
      </c>
      <c r="B21" s="34" t="s">
        <v>34</v>
      </c>
      <c r="C21" s="34">
        <v>2</v>
      </c>
      <c r="D21" s="35" t="s">
        <v>40</v>
      </c>
      <c r="E21" s="4" t="s">
        <v>12</v>
      </c>
      <c r="F21" s="36" t="s">
        <v>39</v>
      </c>
      <c r="G21" s="36" t="s">
        <v>46</v>
      </c>
      <c r="H21" s="34">
        <v>1</v>
      </c>
      <c r="I21" s="34">
        <v>0</v>
      </c>
      <c r="J21" s="34">
        <v>0</v>
      </c>
      <c r="K21" s="116" t="s">
        <v>91</v>
      </c>
      <c r="L21" s="37" t="s">
        <v>37</v>
      </c>
      <c r="M21" s="46" t="s">
        <v>103</v>
      </c>
    </row>
    <row r="22" spans="1:25" ht="39" thickBot="1" x14ac:dyDescent="0.3">
      <c r="A22" s="48" t="s">
        <v>18</v>
      </c>
      <c r="B22" s="39" t="s">
        <v>34</v>
      </c>
      <c r="C22" s="39">
        <v>2</v>
      </c>
      <c r="D22" s="40" t="s">
        <v>40</v>
      </c>
      <c r="E22" s="19" t="s">
        <v>50</v>
      </c>
      <c r="F22" s="19" t="s">
        <v>39</v>
      </c>
      <c r="G22" s="19" t="s">
        <v>46</v>
      </c>
      <c r="H22" s="39">
        <v>1</v>
      </c>
      <c r="I22" s="39">
        <v>0</v>
      </c>
      <c r="J22" s="39">
        <v>0</v>
      </c>
      <c r="K22" s="117" t="s">
        <v>91</v>
      </c>
      <c r="L22" s="41" t="s">
        <v>37</v>
      </c>
      <c r="M22" s="49" t="s">
        <v>103</v>
      </c>
    </row>
    <row r="23" spans="1:25" ht="16.5" customHeight="1" thickBot="1" x14ac:dyDescent="0.3">
      <c r="A23" s="148" t="s">
        <v>18</v>
      </c>
      <c r="B23" s="152" t="s">
        <v>34</v>
      </c>
      <c r="C23" s="106"/>
      <c r="D23" s="106"/>
      <c r="E23" s="107"/>
      <c r="F23" s="108"/>
      <c r="G23" s="111" t="s">
        <v>81</v>
      </c>
      <c r="H23" s="114">
        <v>3</v>
      </c>
      <c r="I23" s="114">
        <v>0</v>
      </c>
      <c r="J23" s="114">
        <v>0</v>
      </c>
      <c r="K23" s="106"/>
      <c r="L23" s="109"/>
      <c r="M23" s="110"/>
    </row>
    <row r="24" spans="1:25" ht="51" customHeight="1" x14ac:dyDescent="0.25">
      <c r="A24" s="50" t="s">
        <v>20</v>
      </c>
      <c r="B24" s="43" t="s">
        <v>34</v>
      </c>
      <c r="C24" s="43">
        <v>2</v>
      </c>
      <c r="D24" s="32" t="s">
        <v>51</v>
      </c>
      <c r="E24" s="24" t="s">
        <v>8</v>
      </c>
      <c r="F24" s="44" t="s">
        <v>39</v>
      </c>
      <c r="G24" s="44" t="s">
        <v>46</v>
      </c>
      <c r="H24" s="43">
        <v>1</v>
      </c>
      <c r="I24" s="43">
        <v>0</v>
      </c>
      <c r="J24" s="120">
        <v>0</v>
      </c>
      <c r="K24" s="121" t="s">
        <v>91</v>
      </c>
      <c r="L24" s="45" t="s">
        <v>37</v>
      </c>
      <c r="M24" s="118" t="s">
        <v>103</v>
      </c>
    </row>
    <row r="25" spans="1:25" ht="25.5" x14ac:dyDescent="0.25">
      <c r="A25" s="33" t="s">
        <v>20</v>
      </c>
      <c r="B25" s="34" t="s">
        <v>34</v>
      </c>
      <c r="C25" s="34">
        <v>2</v>
      </c>
      <c r="D25" s="35" t="s">
        <v>40</v>
      </c>
      <c r="E25" s="4" t="s">
        <v>12</v>
      </c>
      <c r="F25" s="36" t="s">
        <v>39</v>
      </c>
      <c r="G25" s="36" t="s">
        <v>46</v>
      </c>
      <c r="H25" s="34">
        <v>1</v>
      </c>
      <c r="I25" s="35">
        <v>0</v>
      </c>
      <c r="J25" s="35">
        <v>0</v>
      </c>
      <c r="K25" s="116" t="s">
        <v>91</v>
      </c>
      <c r="L25" s="37" t="s">
        <v>37</v>
      </c>
      <c r="M25" s="51" t="s">
        <v>103</v>
      </c>
    </row>
    <row r="26" spans="1:25" ht="39" thickBot="1" x14ac:dyDescent="0.3">
      <c r="A26" s="52" t="s">
        <v>20</v>
      </c>
      <c r="B26" s="39" t="s">
        <v>34</v>
      </c>
      <c r="C26" s="39">
        <v>2</v>
      </c>
      <c r="D26" s="40" t="s">
        <v>40</v>
      </c>
      <c r="E26" s="19" t="s">
        <v>47</v>
      </c>
      <c r="F26" s="19" t="s">
        <v>39</v>
      </c>
      <c r="G26" s="19" t="s">
        <v>46</v>
      </c>
      <c r="H26" s="39">
        <v>1</v>
      </c>
      <c r="I26" s="40">
        <v>0</v>
      </c>
      <c r="J26" s="40">
        <v>0</v>
      </c>
      <c r="K26" s="117" t="s">
        <v>91</v>
      </c>
      <c r="L26" s="41" t="s">
        <v>37</v>
      </c>
      <c r="M26" s="53" t="s">
        <v>103</v>
      </c>
    </row>
    <row r="27" spans="1:25" ht="16.5" customHeight="1" thickBot="1" x14ac:dyDescent="0.3">
      <c r="A27" s="147" t="s">
        <v>20</v>
      </c>
      <c r="B27" s="152" t="s">
        <v>34</v>
      </c>
      <c r="C27" s="106"/>
      <c r="D27" s="106"/>
      <c r="E27" s="107"/>
      <c r="F27" s="108"/>
      <c r="G27" s="111" t="s">
        <v>81</v>
      </c>
      <c r="H27" s="114">
        <v>3</v>
      </c>
      <c r="I27" s="114">
        <v>0</v>
      </c>
      <c r="J27" s="114">
        <v>0</v>
      </c>
      <c r="K27" s="106"/>
      <c r="L27" s="109"/>
      <c r="M27" s="110"/>
      <c r="O27" s="173" t="s">
        <v>52</v>
      </c>
      <c r="P27" s="173"/>
      <c r="Q27" s="173"/>
      <c r="R27" s="173"/>
      <c r="S27" s="173"/>
      <c r="T27" s="173"/>
      <c r="U27" s="173"/>
      <c r="V27" s="54"/>
      <c r="W27" s="54"/>
      <c r="X27" s="54"/>
      <c r="Y27" s="54"/>
    </row>
    <row r="28" spans="1:25" ht="84.75" customHeight="1" x14ac:dyDescent="0.25">
      <c r="A28" s="55" t="s">
        <v>7</v>
      </c>
      <c r="B28" s="56" t="s">
        <v>53</v>
      </c>
      <c r="C28" s="56">
        <v>1</v>
      </c>
      <c r="D28" s="57" t="s">
        <v>54</v>
      </c>
      <c r="E28" s="24" t="s">
        <v>8</v>
      </c>
      <c r="F28" s="44" t="s">
        <v>37</v>
      </c>
      <c r="G28" s="44" t="s">
        <v>38</v>
      </c>
      <c r="H28" s="56">
        <v>0</v>
      </c>
      <c r="I28" s="56">
        <v>1</v>
      </c>
      <c r="J28" s="56">
        <v>0</v>
      </c>
      <c r="K28" s="56" t="s">
        <v>94</v>
      </c>
      <c r="L28" s="57" t="s">
        <v>39</v>
      </c>
      <c r="M28" s="58" t="s">
        <v>104</v>
      </c>
      <c r="O28" s="173" t="s">
        <v>55</v>
      </c>
      <c r="P28" s="173"/>
      <c r="Q28" s="173"/>
      <c r="R28" s="173"/>
      <c r="S28" s="173"/>
      <c r="T28" s="173"/>
      <c r="U28" s="54"/>
      <c r="V28" s="54"/>
      <c r="W28" s="54"/>
      <c r="X28" s="54"/>
      <c r="Y28" s="54"/>
    </row>
    <row r="29" spans="1:25" ht="49.5" customHeight="1" x14ac:dyDescent="0.25">
      <c r="A29" s="59" t="s">
        <v>7</v>
      </c>
      <c r="B29" s="60" t="s">
        <v>53</v>
      </c>
      <c r="C29" s="60">
        <v>1</v>
      </c>
      <c r="D29" s="60" t="s">
        <v>40</v>
      </c>
      <c r="E29" s="4" t="s">
        <v>12</v>
      </c>
      <c r="F29" s="36" t="s">
        <v>39</v>
      </c>
      <c r="G29" s="36" t="s">
        <v>41</v>
      </c>
      <c r="H29" s="60">
        <v>1</v>
      </c>
      <c r="I29" s="60">
        <v>0</v>
      </c>
      <c r="J29" s="60">
        <v>0</v>
      </c>
      <c r="K29" s="60" t="s">
        <v>91</v>
      </c>
      <c r="L29" s="61" t="s">
        <v>37</v>
      </c>
      <c r="M29" s="62" t="s">
        <v>107</v>
      </c>
      <c r="O29" s="173" t="s">
        <v>56</v>
      </c>
      <c r="P29" s="173"/>
      <c r="Q29" s="173"/>
      <c r="R29" s="173"/>
      <c r="S29" s="173"/>
      <c r="T29" s="173"/>
      <c r="U29" s="173"/>
      <c r="V29" s="173"/>
      <c r="W29" s="173"/>
      <c r="X29" s="173"/>
      <c r="Y29" s="173"/>
    </row>
    <row r="30" spans="1:25" ht="48" customHeight="1" thickBot="1" x14ac:dyDescent="0.3">
      <c r="A30" s="63" t="s">
        <v>7</v>
      </c>
      <c r="B30" s="64" t="s">
        <v>53</v>
      </c>
      <c r="C30" s="64">
        <v>1</v>
      </c>
      <c r="D30" s="64" t="s">
        <v>40</v>
      </c>
      <c r="E30" s="18" t="s">
        <v>42</v>
      </c>
      <c r="F30" s="19" t="s">
        <v>39</v>
      </c>
      <c r="G30" s="19" t="s">
        <v>41</v>
      </c>
      <c r="H30" s="64">
        <v>1</v>
      </c>
      <c r="I30" s="64">
        <v>0</v>
      </c>
      <c r="J30" s="64">
        <v>0</v>
      </c>
      <c r="K30" s="64" t="s">
        <v>91</v>
      </c>
      <c r="L30" s="65" t="s">
        <v>37</v>
      </c>
      <c r="M30" s="66" t="s">
        <v>108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25" customHeight="1" thickBot="1" x14ac:dyDescent="0.3">
      <c r="A31" s="149" t="s">
        <v>7</v>
      </c>
      <c r="B31" s="153" t="s">
        <v>53</v>
      </c>
      <c r="C31" s="122"/>
      <c r="D31" s="122"/>
      <c r="E31" s="107"/>
      <c r="F31" s="108"/>
      <c r="G31" s="111" t="s">
        <v>81</v>
      </c>
      <c r="H31" s="141">
        <v>2</v>
      </c>
      <c r="I31" s="141">
        <v>1</v>
      </c>
      <c r="J31" s="141">
        <v>0</v>
      </c>
      <c r="K31" s="122"/>
      <c r="L31" s="123"/>
      <c r="M31" s="124"/>
    </row>
    <row r="32" spans="1:25" ht="25.5" customHeight="1" x14ac:dyDescent="0.25">
      <c r="A32" s="67" t="s">
        <v>18</v>
      </c>
      <c r="B32" s="56" t="s">
        <v>53</v>
      </c>
      <c r="C32" s="56">
        <v>1</v>
      </c>
      <c r="D32" s="57" t="s">
        <v>57</v>
      </c>
      <c r="E32" s="24" t="s">
        <v>8</v>
      </c>
      <c r="F32" s="44" t="s">
        <v>39</v>
      </c>
      <c r="G32" s="44" t="s">
        <v>41</v>
      </c>
      <c r="H32" s="56">
        <v>1</v>
      </c>
      <c r="I32" s="56">
        <v>0</v>
      </c>
      <c r="J32" s="56">
        <v>0</v>
      </c>
      <c r="K32" s="56" t="s">
        <v>91</v>
      </c>
      <c r="L32" s="57" t="s">
        <v>37</v>
      </c>
      <c r="M32" s="58" t="s">
        <v>100</v>
      </c>
    </row>
    <row r="33" spans="1:28" ht="25.5" customHeight="1" x14ac:dyDescent="0.25">
      <c r="A33" s="68" t="s">
        <v>18</v>
      </c>
      <c r="B33" s="60" t="s">
        <v>53</v>
      </c>
      <c r="C33" s="60">
        <v>1</v>
      </c>
      <c r="D33" s="60" t="s">
        <v>40</v>
      </c>
      <c r="E33" s="4" t="s">
        <v>12</v>
      </c>
      <c r="F33" s="36" t="s">
        <v>39</v>
      </c>
      <c r="G33" s="36" t="s">
        <v>41</v>
      </c>
      <c r="H33" s="60">
        <v>1</v>
      </c>
      <c r="I33" s="60">
        <v>0</v>
      </c>
      <c r="J33" s="60">
        <v>0</v>
      </c>
      <c r="K33" s="60" t="s">
        <v>91</v>
      </c>
      <c r="L33" s="61" t="s">
        <v>37</v>
      </c>
      <c r="M33" s="62" t="s">
        <v>101</v>
      </c>
    </row>
    <row r="34" spans="1:28" ht="25.5" customHeight="1" thickBot="1" x14ac:dyDescent="0.3">
      <c r="A34" s="126" t="s">
        <v>18</v>
      </c>
      <c r="B34" s="64" t="s">
        <v>53</v>
      </c>
      <c r="C34" s="64">
        <v>1</v>
      </c>
      <c r="D34" s="64" t="s">
        <v>40</v>
      </c>
      <c r="E34" s="19" t="s">
        <v>50</v>
      </c>
      <c r="F34" s="19" t="s">
        <v>37</v>
      </c>
      <c r="G34" s="19" t="s">
        <v>38</v>
      </c>
      <c r="H34" s="65">
        <v>0</v>
      </c>
      <c r="I34" s="65">
        <v>0</v>
      </c>
      <c r="J34" s="65">
        <v>1</v>
      </c>
      <c r="K34" s="64" t="s">
        <v>95</v>
      </c>
      <c r="L34" s="65" t="s">
        <v>37</v>
      </c>
      <c r="M34" s="66" t="s">
        <v>109</v>
      </c>
    </row>
    <row r="35" spans="1:28" ht="18.75" customHeight="1" thickBot="1" x14ac:dyDescent="0.3">
      <c r="A35" s="150" t="s">
        <v>18</v>
      </c>
      <c r="B35" s="154" t="s">
        <v>53</v>
      </c>
      <c r="C35" s="128"/>
      <c r="D35" s="128"/>
      <c r="E35" s="129"/>
      <c r="F35" s="130"/>
      <c r="G35" s="111" t="s">
        <v>81</v>
      </c>
      <c r="H35" s="141">
        <v>2</v>
      </c>
      <c r="I35" s="141">
        <v>0</v>
      </c>
      <c r="J35" s="141">
        <v>1</v>
      </c>
      <c r="K35" s="122"/>
      <c r="L35" s="123"/>
      <c r="M35" s="124"/>
      <c r="O35" s="88" t="s">
        <v>94</v>
      </c>
      <c r="P35" s="174" t="s">
        <v>92</v>
      </c>
      <c r="Q35" s="175"/>
    </row>
    <row r="36" spans="1:28" ht="38.25" customHeight="1" x14ac:dyDescent="0.25">
      <c r="A36" s="55" t="s">
        <v>20</v>
      </c>
      <c r="B36" s="56" t="s">
        <v>53</v>
      </c>
      <c r="C36" s="56">
        <v>1</v>
      </c>
      <c r="D36" s="57" t="s">
        <v>58</v>
      </c>
      <c r="E36" s="24" t="s">
        <v>8</v>
      </c>
      <c r="F36" s="44" t="s">
        <v>39</v>
      </c>
      <c r="G36" s="44" t="s">
        <v>46</v>
      </c>
      <c r="H36" s="56">
        <v>1</v>
      </c>
      <c r="I36" s="56">
        <v>0</v>
      </c>
      <c r="J36" s="56">
        <v>0</v>
      </c>
      <c r="K36" s="56" t="s">
        <v>91</v>
      </c>
      <c r="L36" s="57" t="s">
        <v>37</v>
      </c>
      <c r="M36" s="125" t="s">
        <v>114</v>
      </c>
      <c r="O36" s="89" t="s">
        <v>91</v>
      </c>
      <c r="P36" s="170" t="s">
        <v>93</v>
      </c>
      <c r="Q36" s="171"/>
    </row>
    <row r="37" spans="1:28" ht="38.25" customHeight="1" thickBot="1" x14ac:dyDescent="0.3">
      <c r="A37" s="59" t="s">
        <v>20</v>
      </c>
      <c r="B37" s="60" t="s">
        <v>53</v>
      </c>
      <c r="C37" s="60">
        <v>1</v>
      </c>
      <c r="D37" s="60" t="s">
        <v>40</v>
      </c>
      <c r="E37" s="4" t="s">
        <v>12</v>
      </c>
      <c r="F37" s="36" t="s">
        <v>39</v>
      </c>
      <c r="G37" s="36" t="s">
        <v>46</v>
      </c>
      <c r="H37" s="60">
        <v>1</v>
      </c>
      <c r="I37" s="60">
        <v>0</v>
      </c>
      <c r="J37" s="60">
        <v>0</v>
      </c>
      <c r="K37" s="60" t="s">
        <v>91</v>
      </c>
      <c r="L37" s="61" t="s">
        <v>37</v>
      </c>
      <c r="M37" s="58" t="s">
        <v>114</v>
      </c>
      <c r="O37" s="90" t="s">
        <v>95</v>
      </c>
      <c r="P37" s="168" t="s">
        <v>96</v>
      </c>
      <c r="Q37" s="169"/>
    </row>
    <row r="38" spans="1:28" ht="87" customHeight="1" thickBot="1" x14ac:dyDescent="0.3">
      <c r="A38" s="63" t="s">
        <v>20</v>
      </c>
      <c r="B38" s="64" t="s">
        <v>53</v>
      </c>
      <c r="C38" s="64">
        <v>1</v>
      </c>
      <c r="D38" s="64" t="s">
        <v>40</v>
      </c>
      <c r="E38" s="19" t="s">
        <v>47</v>
      </c>
      <c r="F38" s="19" t="s">
        <v>37</v>
      </c>
      <c r="G38" s="19" t="s">
        <v>38</v>
      </c>
      <c r="H38" s="64">
        <v>0</v>
      </c>
      <c r="I38" s="64">
        <v>0</v>
      </c>
      <c r="J38" s="64">
        <v>1</v>
      </c>
      <c r="K38" s="64" t="s">
        <v>95</v>
      </c>
      <c r="L38" s="65" t="s">
        <v>37</v>
      </c>
      <c r="M38" s="66" t="s">
        <v>110</v>
      </c>
      <c r="AA38" s="87"/>
      <c r="AB38" s="87"/>
    </row>
    <row r="39" spans="1:28" ht="21" customHeight="1" thickBot="1" x14ac:dyDescent="0.3">
      <c r="A39" s="151" t="s">
        <v>20</v>
      </c>
      <c r="B39" s="154" t="s">
        <v>53</v>
      </c>
      <c r="C39" s="128"/>
      <c r="D39" s="128"/>
      <c r="E39" s="129"/>
      <c r="F39" s="130"/>
      <c r="G39" s="111" t="s">
        <v>81</v>
      </c>
      <c r="H39" s="141">
        <v>2</v>
      </c>
      <c r="I39" s="141">
        <v>0</v>
      </c>
      <c r="J39" s="141">
        <v>1</v>
      </c>
      <c r="K39" s="122"/>
      <c r="L39" s="123"/>
      <c r="M39" s="124"/>
    </row>
    <row r="40" spans="1:28" ht="59.25" customHeight="1" x14ac:dyDescent="0.25">
      <c r="A40" s="140" t="s">
        <v>7</v>
      </c>
      <c r="B40" s="71" t="s">
        <v>53</v>
      </c>
      <c r="C40" s="71">
        <v>2</v>
      </c>
      <c r="D40" s="137" t="s">
        <v>59</v>
      </c>
      <c r="E40" s="24" t="s">
        <v>8</v>
      </c>
      <c r="F40" s="44" t="s">
        <v>37</v>
      </c>
      <c r="G40" s="44" t="s">
        <v>38</v>
      </c>
      <c r="H40" s="143">
        <v>0</v>
      </c>
      <c r="I40" s="71">
        <v>1</v>
      </c>
      <c r="J40" s="71">
        <v>0</v>
      </c>
      <c r="K40" s="144" t="s">
        <v>94</v>
      </c>
      <c r="L40" s="137" t="s">
        <v>39</v>
      </c>
      <c r="M40" s="138" t="s">
        <v>111</v>
      </c>
    </row>
    <row r="41" spans="1:28" ht="64.5" customHeight="1" x14ac:dyDescent="0.25">
      <c r="A41" s="74" t="s">
        <v>7</v>
      </c>
      <c r="B41" s="75" t="s">
        <v>53</v>
      </c>
      <c r="C41" s="75">
        <v>2</v>
      </c>
      <c r="D41" s="75" t="s">
        <v>40</v>
      </c>
      <c r="E41" s="4" t="s">
        <v>12</v>
      </c>
      <c r="F41" s="36" t="s">
        <v>37</v>
      </c>
      <c r="G41" s="36" t="s">
        <v>38</v>
      </c>
      <c r="H41" s="75">
        <v>0</v>
      </c>
      <c r="I41" s="75">
        <v>0</v>
      </c>
      <c r="J41" s="75">
        <v>1</v>
      </c>
      <c r="K41" s="96" t="s">
        <v>95</v>
      </c>
      <c r="L41" s="76" t="s">
        <v>37</v>
      </c>
      <c r="M41" s="77" t="s">
        <v>112</v>
      </c>
    </row>
    <row r="42" spans="1:28" ht="55.5" customHeight="1" thickBot="1" x14ac:dyDescent="0.3">
      <c r="A42" s="132" t="s">
        <v>7</v>
      </c>
      <c r="B42" s="78" t="s">
        <v>53</v>
      </c>
      <c r="C42" s="78">
        <v>2</v>
      </c>
      <c r="D42" s="78" t="s">
        <v>40</v>
      </c>
      <c r="E42" s="18" t="s">
        <v>42</v>
      </c>
      <c r="F42" s="19" t="s">
        <v>37</v>
      </c>
      <c r="G42" s="19" t="s">
        <v>38</v>
      </c>
      <c r="H42" s="78">
        <v>0</v>
      </c>
      <c r="I42" s="78">
        <v>1</v>
      </c>
      <c r="J42" s="78">
        <v>0</v>
      </c>
      <c r="K42" s="127" t="s">
        <v>94</v>
      </c>
      <c r="L42" s="133" t="s">
        <v>39</v>
      </c>
      <c r="M42" s="134" t="s">
        <v>113</v>
      </c>
    </row>
    <row r="43" spans="1:28" ht="16.5" customHeight="1" thickBot="1" x14ac:dyDescent="0.3">
      <c r="A43" s="155" t="s">
        <v>7</v>
      </c>
      <c r="B43" s="131" t="s">
        <v>53</v>
      </c>
      <c r="C43" s="135"/>
      <c r="D43" s="135"/>
      <c r="E43" s="129"/>
      <c r="F43" s="130"/>
      <c r="G43" s="92" t="s">
        <v>81</v>
      </c>
      <c r="H43" s="142">
        <v>0</v>
      </c>
      <c r="I43" s="142">
        <v>2</v>
      </c>
      <c r="J43" s="142">
        <v>1</v>
      </c>
      <c r="K43" s="78"/>
      <c r="L43" s="133"/>
      <c r="M43" s="134"/>
    </row>
    <row r="44" spans="1:28" ht="33" customHeight="1" x14ac:dyDescent="0.25">
      <c r="A44" s="136" t="s">
        <v>18</v>
      </c>
      <c r="B44" s="71" t="s">
        <v>53</v>
      </c>
      <c r="C44" s="71">
        <v>2</v>
      </c>
      <c r="D44" s="137" t="s">
        <v>60</v>
      </c>
      <c r="E44" s="24" t="s">
        <v>8</v>
      </c>
      <c r="F44" s="44" t="s">
        <v>39</v>
      </c>
      <c r="G44" s="44" t="s">
        <v>46</v>
      </c>
      <c r="H44" s="71">
        <v>1</v>
      </c>
      <c r="I44" s="71">
        <v>0</v>
      </c>
      <c r="J44" s="71">
        <v>0</v>
      </c>
      <c r="K44" s="71" t="s">
        <v>91</v>
      </c>
      <c r="L44" s="137" t="s">
        <v>37</v>
      </c>
      <c r="M44" s="138" t="s">
        <v>114</v>
      </c>
    </row>
    <row r="45" spans="1:28" ht="30.75" customHeight="1" x14ac:dyDescent="0.25">
      <c r="A45" s="79" t="s">
        <v>18</v>
      </c>
      <c r="B45" s="75" t="s">
        <v>53</v>
      </c>
      <c r="C45" s="75">
        <v>2</v>
      </c>
      <c r="D45" s="75" t="s">
        <v>40</v>
      </c>
      <c r="E45" s="4" t="s">
        <v>12</v>
      </c>
      <c r="F45" s="36" t="s">
        <v>39</v>
      </c>
      <c r="G45" s="36" t="s">
        <v>46</v>
      </c>
      <c r="H45" s="75">
        <v>1</v>
      </c>
      <c r="I45" s="75">
        <v>0</v>
      </c>
      <c r="J45" s="75">
        <v>0</v>
      </c>
      <c r="K45" s="75" t="s">
        <v>91</v>
      </c>
      <c r="L45" s="76" t="s">
        <v>37</v>
      </c>
      <c r="M45" s="77" t="s">
        <v>114</v>
      </c>
    </row>
    <row r="46" spans="1:28" ht="59.25" customHeight="1" thickBot="1" x14ac:dyDescent="0.3">
      <c r="A46" s="139" t="s">
        <v>18</v>
      </c>
      <c r="B46" s="78" t="s">
        <v>53</v>
      </c>
      <c r="C46" s="78">
        <v>2</v>
      </c>
      <c r="D46" s="78" t="s">
        <v>40</v>
      </c>
      <c r="E46" s="19" t="s">
        <v>50</v>
      </c>
      <c r="F46" s="19" t="s">
        <v>37</v>
      </c>
      <c r="G46" s="19" t="s">
        <v>38</v>
      </c>
      <c r="H46" s="78">
        <v>0</v>
      </c>
      <c r="I46" s="78">
        <v>0</v>
      </c>
      <c r="J46" s="78">
        <v>1</v>
      </c>
      <c r="K46" s="127" t="s">
        <v>95</v>
      </c>
      <c r="L46" s="133" t="s">
        <v>37</v>
      </c>
      <c r="M46" s="134" t="s">
        <v>110</v>
      </c>
    </row>
    <row r="47" spans="1:28" ht="18.75" customHeight="1" thickBot="1" x14ac:dyDescent="0.3">
      <c r="A47" s="157" t="s">
        <v>18</v>
      </c>
      <c r="B47" s="119" t="s">
        <v>53</v>
      </c>
      <c r="C47" s="156"/>
      <c r="D47" s="156"/>
      <c r="E47" s="108"/>
      <c r="F47" s="108"/>
      <c r="G47" s="92" t="s">
        <v>81</v>
      </c>
      <c r="H47" s="142">
        <v>2</v>
      </c>
      <c r="I47" s="142">
        <v>0</v>
      </c>
      <c r="J47" s="142">
        <v>1</v>
      </c>
      <c r="K47" s="78"/>
      <c r="L47" s="133"/>
      <c r="M47" s="134"/>
    </row>
    <row r="48" spans="1:28" ht="38.25" customHeight="1" thickBot="1" x14ac:dyDescent="0.3">
      <c r="A48" s="70" t="s">
        <v>20</v>
      </c>
      <c r="B48" s="71" t="s">
        <v>53</v>
      </c>
      <c r="C48" s="72">
        <v>2</v>
      </c>
      <c r="D48" s="73" t="s">
        <v>61</v>
      </c>
      <c r="E48" s="4" t="s">
        <v>8</v>
      </c>
      <c r="F48" s="69" t="s">
        <v>39</v>
      </c>
      <c r="G48" s="69" t="s">
        <v>46</v>
      </c>
      <c r="H48" s="72">
        <v>1</v>
      </c>
      <c r="I48" s="72">
        <v>0</v>
      </c>
      <c r="J48" s="72">
        <v>0</v>
      </c>
      <c r="K48" s="72" t="s">
        <v>91</v>
      </c>
      <c r="L48" s="73" t="s">
        <v>37</v>
      </c>
      <c r="M48" s="138" t="s">
        <v>114</v>
      </c>
    </row>
    <row r="49" spans="1:22" ht="38.25" customHeight="1" thickBot="1" x14ac:dyDescent="0.3">
      <c r="A49" s="74" t="s">
        <v>20</v>
      </c>
      <c r="B49" s="75" t="s">
        <v>53</v>
      </c>
      <c r="C49" s="75">
        <v>2</v>
      </c>
      <c r="D49" s="75" t="s">
        <v>40</v>
      </c>
      <c r="E49" s="4" t="s">
        <v>12</v>
      </c>
      <c r="F49" s="36" t="s">
        <v>39</v>
      </c>
      <c r="G49" s="36" t="s">
        <v>46</v>
      </c>
      <c r="H49" s="75">
        <v>1</v>
      </c>
      <c r="I49" s="75">
        <v>0</v>
      </c>
      <c r="J49" s="75">
        <v>0</v>
      </c>
      <c r="K49" s="75" t="s">
        <v>91</v>
      </c>
      <c r="L49" s="76" t="s">
        <v>37</v>
      </c>
      <c r="M49" s="77" t="s">
        <v>114</v>
      </c>
      <c r="O49" s="201" t="s">
        <v>127</v>
      </c>
      <c r="P49" s="202"/>
      <c r="Q49" s="202"/>
      <c r="R49" s="203"/>
    </row>
    <row r="50" spans="1:22" ht="62.25" customHeight="1" thickBot="1" x14ac:dyDescent="0.3">
      <c r="A50" s="132" t="s">
        <v>20</v>
      </c>
      <c r="B50" s="78" t="s">
        <v>53</v>
      </c>
      <c r="C50" s="78">
        <v>2</v>
      </c>
      <c r="D50" s="78" t="s">
        <v>40</v>
      </c>
      <c r="E50" s="19" t="s">
        <v>47</v>
      </c>
      <c r="F50" s="19" t="s">
        <v>37</v>
      </c>
      <c r="G50" s="19" t="s">
        <v>38</v>
      </c>
      <c r="H50" s="78">
        <v>0</v>
      </c>
      <c r="I50" s="78">
        <v>0</v>
      </c>
      <c r="J50" s="78">
        <v>1</v>
      </c>
      <c r="K50" s="78" t="s">
        <v>95</v>
      </c>
      <c r="L50" s="133" t="s">
        <v>37</v>
      </c>
      <c r="M50" s="134" t="s">
        <v>110</v>
      </c>
      <c r="O50" s="188" t="s">
        <v>115</v>
      </c>
      <c r="P50" s="189"/>
      <c r="Q50" s="189"/>
      <c r="R50" s="189"/>
      <c r="S50" s="189"/>
      <c r="T50" s="189"/>
      <c r="U50" s="190"/>
      <c r="V50" s="191"/>
    </row>
    <row r="51" spans="1:22" ht="18.75" customHeight="1" thickBot="1" x14ac:dyDescent="0.3">
      <c r="A51" s="155" t="s">
        <v>20</v>
      </c>
      <c r="B51" s="131" t="s">
        <v>53</v>
      </c>
      <c r="C51" s="135"/>
      <c r="D51" s="135"/>
      <c r="E51" s="130"/>
      <c r="F51" s="130"/>
      <c r="G51" s="92" t="s">
        <v>81</v>
      </c>
      <c r="H51" s="142">
        <v>2</v>
      </c>
      <c r="I51" s="142">
        <v>0</v>
      </c>
      <c r="J51" s="142">
        <v>1</v>
      </c>
      <c r="K51" s="78"/>
      <c r="L51" s="133"/>
      <c r="M51" s="134"/>
      <c r="O51" s="192" t="s">
        <v>116</v>
      </c>
      <c r="P51" s="193"/>
      <c r="Q51" s="193"/>
      <c r="R51" s="193"/>
      <c r="S51" s="193"/>
      <c r="T51" s="193"/>
      <c r="U51" s="193"/>
      <c r="V51" s="194"/>
    </row>
    <row r="52" spans="1:22" x14ac:dyDescent="0.25">
      <c r="O52" s="195" t="s">
        <v>117</v>
      </c>
      <c r="P52" s="196"/>
      <c r="Q52" s="196"/>
      <c r="R52" s="196"/>
      <c r="S52" s="196"/>
      <c r="T52" s="196"/>
      <c r="U52" s="197"/>
      <c r="V52" s="194"/>
    </row>
    <row r="53" spans="1:22" ht="15.75" thickBot="1" x14ac:dyDescent="0.3">
      <c r="O53" s="198" t="s">
        <v>118</v>
      </c>
      <c r="P53" s="199"/>
      <c r="Q53" s="199"/>
      <c r="R53" s="199"/>
      <c r="S53" s="199"/>
      <c r="T53" s="199"/>
      <c r="U53" s="199"/>
      <c r="V53" s="200"/>
    </row>
  </sheetData>
  <mergeCells count="12">
    <mergeCell ref="P36:Q36"/>
    <mergeCell ref="A1:M1"/>
    <mergeCell ref="O27:U27"/>
    <mergeCell ref="O28:T28"/>
    <mergeCell ref="O29:Y29"/>
    <mergeCell ref="P35:Q35"/>
    <mergeCell ref="P37:Q37"/>
    <mergeCell ref="O50:T50"/>
    <mergeCell ref="O51:U51"/>
    <mergeCell ref="O52:T52"/>
    <mergeCell ref="O53:V53"/>
    <mergeCell ref="O49:R49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52F3-CB1D-486E-8EF9-6783CAAD9CED}">
  <dimension ref="A3:Q29"/>
  <sheetViews>
    <sheetView workbookViewId="0">
      <selection activeCell="H9" sqref="H9:Q9"/>
    </sheetView>
  </sheetViews>
  <sheetFormatPr baseColWidth="10" defaultRowHeight="15" x14ac:dyDescent="0.25"/>
  <cols>
    <col min="1" max="2" width="10" bestFit="1" customWidth="1"/>
    <col min="3" max="3" width="33.28515625" bestFit="1" customWidth="1"/>
  </cols>
  <sheetData>
    <row r="3" spans="1:17" x14ac:dyDescent="0.25">
      <c r="A3" s="164" t="s">
        <v>23</v>
      </c>
      <c r="B3" s="164" t="s">
        <v>1</v>
      </c>
      <c r="C3" t="s">
        <v>121</v>
      </c>
    </row>
    <row r="4" spans="1:17" x14ac:dyDescent="0.25">
      <c r="A4" t="s">
        <v>34</v>
      </c>
      <c r="B4" t="s">
        <v>7</v>
      </c>
      <c r="C4" s="165">
        <v>1</v>
      </c>
    </row>
    <row r="5" spans="1:17" x14ac:dyDescent="0.25">
      <c r="A5" t="s">
        <v>34</v>
      </c>
      <c r="B5" t="s">
        <v>18</v>
      </c>
      <c r="C5" s="165">
        <v>0.83333333333333337</v>
      </c>
    </row>
    <row r="6" spans="1:17" ht="15.75" thickBot="1" x14ac:dyDescent="0.3">
      <c r="A6" t="s">
        <v>34</v>
      </c>
      <c r="B6" t="s">
        <v>20</v>
      </c>
      <c r="C6" s="165">
        <v>1</v>
      </c>
    </row>
    <row r="7" spans="1:17" ht="24" thickBot="1" x14ac:dyDescent="0.4">
      <c r="A7" t="s">
        <v>53</v>
      </c>
      <c r="B7" t="s">
        <v>7</v>
      </c>
      <c r="C7" s="165">
        <v>0.66666666666666663</v>
      </c>
      <c r="H7" s="176" t="s">
        <v>124</v>
      </c>
      <c r="I7" s="177"/>
      <c r="J7" s="177"/>
      <c r="K7" s="177"/>
      <c r="L7" s="177"/>
      <c r="M7" s="177"/>
      <c r="N7" s="177"/>
      <c r="O7" s="177"/>
      <c r="P7" s="177"/>
      <c r="Q7" s="178"/>
    </row>
    <row r="8" spans="1:17" x14ac:dyDescent="0.25">
      <c r="A8" t="s">
        <v>53</v>
      </c>
      <c r="B8" t="s">
        <v>18</v>
      </c>
      <c r="C8" s="165">
        <v>0.66666666666666663</v>
      </c>
      <c r="G8" s="158"/>
    </row>
    <row r="9" spans="1:17" x14ac:dyDescent="0.25">
      <c r="A9" t="s">
        <v>53</v>
      </c>
      <c r="B9" t="s">
        <v>20</v>
      </c>
      <c r="C9" s="165">
        <v>0.66666666666666663</v>
      </c>
      <c r="G9" s="158"/>
    </row>
    <row r="10" spans="1:17" x14ac:dyDescent="0.25">
      <c r="F10" s="158"/>
    </row>
    <row r="11" spans="1:17" x14ac:dyDescent="0.25">
      <c r="F11" s="158"/>
      <c r="G11" s="158"/>
    </row>
    <row r="12" spans="1:17" x14ac:dyDescent="0.25">
      <c r="F12" s="158"/>
      <c r="G12" s="158"/>
    </row>
    <row r="13" spans="1:17" x14ac:dyDescent="0.25">
      <c r="F13" s="158"/>
      <c r="G13" s="158"/>
    </row>
    <row r="14" spans="1:17" x14ac:dyDescent="0.25">
      <c r="F14" s="158"/>
      <c r="G14" s="158"/>
    </row>
    <row r="15" spans="1:17" x14ac:dyDescent="0.25">
      <c r="F15" s="158"/>
      <c r="G15" s="158"/>
    </row>
    <row r="16" spans="1:17" x14ac:dyDescent="0.25">
      <c r="F16" s="158"/>
      <c r="G16" s="158"/>
    </row>
    <row r="17" spans="6:7" x14ac:dyDescent="0.25">
      <c r="F17" s="158"/>
      <c r="G17" s="158"/>
    </row>
    <row r="18" spans="6:7" x14ac:dyDescent="0.25">
      <c r="F18" s="158"/>
      <c r="G18" s="158"/>
    </row>
    <row r="19" spans="6:7" x14ac:dyDescent="0.25">
      <c r="F19" s="158"/>
      <c r="G19" s="158"/>
    </row>
    <row r="20" spans="6:7" x14ac:dyDescent="0.25">
      <c r="F20" s="158"/>
      <c r="G20" s="158"/>
    </row>
    <row r="21" spans="6:7" x14ac:dyDescent="0.25">
      <c r="F21" s="158"/>
    </row>
    <row r="22" spans="6:7" x14ac:dyDescent="0.25">
      <c r="F22" s="158"/>
    </row>
    <row r="23" spans="6:7" x14ac:dyDescent="0.25">
      <c r="F23" s="158"/>
    </row>
    <row r="24" spans="6:7" x14ac:dyDescent="0.25">
      <c r="F24" s="158"/>
    </row>
    <row r="25" spans="6:7" x14ac:dyDescent="0.25">
      <c r="F25" s="158"/>
    </row>
    <row r="26" spans="6:7" x14ac:dyDescent="0.25">
      <c r="F26" s="158"/>
    </row>
    <row r="27" spans="6:7" x14ac:dyDescent="0.25">
      <c r="F27" s="158"/>
    </row>
    <row r="28" spans="6:7" x14ac:dyDescent="0.25">
      <c r="F28" s="158"/>
    </row>
    <row r="29" spans="6:7" x14ac:dyDescent="0.25">
      <c r="F29" s="158"/>
    </row>
  </sheetData>
  <mergeCells count="1">
    <mergeCell ref="H7:Q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6B09-4DB6-4655-A286-D8E8CA5B9831}">
  <dimension ref="A3:R21"/>
  <sheetViews>
    <sheetView workbookViewId="0">
      <selection activeCell="I10" sqref="I10:R10"/>
    </sheetView>
  </sheetViews>
  <sheetFormatPr baseColWidth="10" defaultRowHeight="15" x14ac:dyDescent="0.25"/>
  <cols>
    <col min="1" max="2" width="10" bestFit="1" customWidth="1"/>
    <col min="3" max="3" width="30.85546875" bestFit="1" customWidth="1"/>
    <col min="4" max="5" width="7.140625" bestFit="1" customWidth="1"/>
    <col min="6" max="7" width="10" bestFit="1" customWidth="1"/>
  </cols>
  <sheetData>
    <row r="3" spans="1:18" x14ac:dyDescent="0.25">
      <c r="A3" s="164" t="s">
        <v>23</v>
      </c>
      <c r="B3" s="164" t="s">
        <v>1</v>
      </c>
      <c r="C3" t="s">
        <v>122</v>
      </c>
    </row>
    <row r="4" spans="1:18" x14ac:dyDescent="0.25">
      <c r="A4" t="s">
        <v>34</v>
      </c>
      <c r="B4" t="s">
        <v>7</v>
      </c>
      <c r="C4" s="165">
        <v>0.33333333333333331</v>
      </c>
    </row>
    <row r="5" spans="1:18" x14ac:dyDescent="0.25">
      <c r="A5" t="s">
        <v>34</v>
      </c>
      <c r="B5" t="s">
        <v>18</v>
      </c>
      <c r="C5" s="165">
        <v>1</v>
      </c>
    </row>
    <row r="6" spans="1:18" x14ac:dyDescent="0.25">
      <c r="A6" t="s">
        <v>34</v>
      </c>
      <c r="B6" t="s">
        <v>20</v>
      </c>
      <c r="C6" s="165">
        <v>1</v>
      </c>
    </row>
    <row r="7" spans="1:18" ht="15.75" thickBot="1" x14ac:dyDescent="0.3">
      <c r="A7" t="s">
        <v>53</v>
      </c>
      <c r="B7" t="s">
        <v>7</v>
      </c>
      <c r="C7" s="165">
        <v>0.4</v>
      </c>
    </row>
    <row r="8" spans="1:18" ht="24" thickBot="1" x14ac:dyDescent="0.4">
      <c r="A8" t="s">
        <v>53</v>
      </c>
      <c r="B8" t="s">
        <v>18</v>
      </c>
      <c r="C8" s="165">
        <v>1</v>
      </c>
      <c r="I8" s="179" t="s">
        <v>126</v>
      </c>
      <c r="J8" s="180"/>
      <c r="K8" s="180"/>
      <c r="L8" s="180"/>
      <c r="M8" s="180"/>
      <c r="N8" s="180"/>
      <c r="O8" s="180"/>
      <c r="P8" s="180"/>
      <c r="Q8" s="180"/>
      <c r="R8" s="181"/>
    </row>
    <row r="9" spans="1:18" x14ac:dyDescent="0.25">
      <c r="A9" t="s">
        <v>53</v>
      </c>
      <c r="B9" t="s">
        <v>20</v>
      </c>
      <c r="C9" s="165">
        <v>1</v>
      </c>
      <c r="H9" s="158"/>
    </row>
    <row r="10" spans="1:18" x14ac:dyDescent="0.25">
      <c r="H10" s="158"/>
    </row>
    <row r="11" spans="1:18" x14ac:dyDescent="0.25">
      <c r="H11" s="158"/>
    </row>
    <row r="12" spans="1:18" x14ac:dyDescent="0.25">
      <c r="H12" s="158"/>
    </row>
    <row r="13" spans="1:18" x14ac:dyDescent="0.25">
      <c r="H13" s="158"/>
    </row>
    <row r="14" spans="1:18" x14ac:dyDescent="0.25">
      <c r="H14" s="158"/>
    </row>
    <row r="15" spans="1:18" x14ac:dyDescent="0.25">
      <c r="H15" s="158"/>
    </row>
    <row r="16" spans="1:18" x14ac:dyDescent="0.25">
      <c r="H16" s="158"/>
    </row>
    <row r="17" spans="8:8" x14ac:dyDescent="0.25">
      <c r="H17" s="158"/>
    </row>
    <row r="18" spans="8:8" x14ac:dyDescent="0.25">
      <c r="H18" s="158"/>
    </row>
    <row r="19" spans="8:8" x14ac:dyDescent="0.25">
      <c r="H19" s="158"/>
    </row>
    <row r="20" spans="8:8" x14ac:dyDescent="0.25">
      <c r="H20" s="158"/>
    </row>
    <row r="21" spans="8:8" x14ac:dyDescent="0.25">
      <c r="H21" s="158"/>
    </row>
  </sheetData>
  <mergeCells count="1">
    <mergeCell ref="I8:R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5415-3ED5-46AD-A1FD-7D902A59587C}">
  <dimension ref="A3:S28"/>
  <sheetViews>
    <sheetView topLeftCell="E10" workbookViewId="0">
      <selection activeCell="J14" sqref="J14:S14"/>
    </sheetView>
  </sheetViews>
  <sheetFormatPr baseColWidth="10" defaultRowHeight="15" x14ac:dyDescent="0.25"/>
  <cols>
    <col min="1" max="2" width="10" bestFit="1" customWidth="1"/>
    <col min="3" max="8" width="17.7109375" bestFit="1" customWidth="1"/>
    <col min="9" max="9" width="20" bestFit="1" customWidth="1"/>
    <col min="10" max="11" width="11.42578125" customWidth="1"/>
  </cols>
  <sheetData>
    <row r="3" spans="1:19" x14ac:dyDescent="0.25">
      <c r="A3" s="164" t="s">
        <v>23</v>
      </c>
      <c r="B3" s="164" t="s">
        <v>1</v>
      </c>
      <c r="C3" t="s">
        <v>123</v>
      </c>
    </row>
    <row r="4" spans="1:19" x14ac:dyDescent="0.25">
      <c r="A4" t="s">
        <v>34</v>
      </c>
      <c r="B4" t="s">
        <v>7</v>
      </c>
      <c r="C4" s="165">
        <v>0.5</v>
      </c>
    </row>
    <row r="5" spans="1:19" x14ac:dyDescent="0.25">
      <c r="A5" t="s">
        <v>34</v>
      </c>
      <c r="B5" t="s">
        <v>18</v>
      </c>
      <c r="C5" s="165">
        <v>0.90909090909090906</v>
      </c>
    </row>
    <row r="6" spans="1:19" x14ac:dyDescent="0.25">
      <c r="A6" t="s">
        <v>34</v>
      </c>
      <c r="B6" t="s">
        <v>20</v>
      </c>
      <c r="C6" s="165">
        <v>1</v>
      </c>
    </row>
    <row r="7" spans="1:19" x14ac:dyDescent="0.25">
      <c r="A7" t="s">
        <v>53</v>
      </c>
      <c r="B7" t="s">
        <v>7</v>
      </c>
      <c r="C7" s="165">
        <v>0.5</v>
      </c>
    </row>
    <row r="8" spans="1:19" x14ac:dyDescent="0.25">
      <c r="A8" t="s">
        <v>53</v>
      </c>
      <c r="B8" t="s">
        <v>18</v>
      </c>
      <c r="C8" s="165">
        <v>0.8</v>
      </c>
    </row>
    <row r="9" spans="1:19" x14ac:dyDescent="0.25">
      <c r="A9" t="s">
        <v>53</v>
      </c>
      <c r="B9" t="s">
        <v>20</v>
      </c>
      <c r="C9" s="165">
        <v>0.8</v>
      </c>
    </row>
    <row r="10" spans="1:19" ht="15.75" thickBot="1" x14ac:dyDescent="0.3"/>
    <row r="11" spans="1:19" ht="24" thickBot="1" x14ac:dyDescent="0.4">
      <c r="J11" s="182" t="s">
        <v>125</v>
      </c>
      <c r="K11" s="183"/>
      <c r="L11" s="183"/>
      <c r="M11" s="183"/>
      <c r="N11" s="183"/>
      <c r="O11" s="183"/>
      <c r="P11" s="183"/>
      <c r="Q11" s="183"/>
      <c r="R11" s="183"/>
      <c r="S11" s="184"/>
    </row>
    <row r="15" spans="1:19" ht="24" customHeight="1" x14ac:dyDescent="0.25"/>
    <row r="16" spans="1:19" x14ac:dyDescent="0.25">
      <c r="I16" s="158"/>
    </row>
    <row r="17" spans="9:9" x14ac:dyDescent="0.25">
      <c r="I17" s="158"/>
    </row>
    <row r="18" spans="9:9" x14ac:dyDescent="0.25">
      <c r="I18" s="158"/>
    </row>
    <row r="19" spans="9:9" x14ac:dyDescent="0.25">
      <c r="I19" s="158"/>
    </row>
    <row r="20" spans="9:9" x14ac:dyDescent="0.25">
      <c r="I20" s="158"/>
    </row>
    <row r="21" spans="9:9" x14ac:dyDescent="0.25">
      <c r="I21" s="158"/>
    </row>
    <row r="22" spans="9:9" x14ac:dyDescent="0.25">
      <c r="I22" s="158"/>
    </row>
    <row r="23" spans="9:9" x14ac:dyDescent="0.25">
      <c r="I23" s="158"/>
    </row>
    <row r="24" spans="9:9" x14ac:dyDescent="0.25">
      <c r="I24" s="158"/>
    </row>
    <row r="25" spans="9:9" x14ac:dyDescent="0.25">
      <c r="I25" s="158"/>
    </row>
    <row r="26" spans="9:9" x14ac:dyDescent="0.25">
      <c r="I26" s="158"/>
    </row>
    <row r="27" spans="9:9" x14ac:dyDescent="0.25">
      <c r="I27" s="158"/>
    </row>
    <row r="28" spans="9:9" x14ac:dyDescent="0.25">
      <c r="I28" s="158"/>
    </row>
  </sheetData>
  <mergeCells count="1">
    <mergeCell ref="J11:S1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9899-AFA1-4C6B-8630-8360B090C89C}">
  <dimension ref="A1:I15"/>
  <sheetViews>
    <sheetView zoomScaleNormal="100" workbookViewId="0">
      <selection activeCell="E24" sqref="E24"/>
    </sheetView>
  </sheetViews>
  <sheetFormatPr baseColWidth="10" defaultColWidth="10.7109375" defaultRowHeight="15" x14ac:dyDescent="0.25"/>
  <cols>
    <col min="6" max="6" width="18.5703125" customWidth="1"/>
    <col min="7" max="7" width="15.140625" customWidth="1"/>
    <col min="8" max="8" width="13.85546875" customWidth="1"/>
    <col min="9" max="9" width="17.140625" customWidth="1"/>
  </cols>
  <sheetData>
    <row r="1" spans="1:9" ht="16.5" customHeight="1" x14ac:dyDescent="0.25">
      <c r="A1" s="185" t="s">
        <v>62</v>
      </c>
      <c r="B1" s="185"/>
      <c r="C1" s="185"/>
      <c r="D1" s="185"/>
      <c r="E1" s="185"/>
      <c r="F1" s="185"/>
      <c r="G1" s="185"/>
      <c r="H1" s="185"/>
      <c r="I1" s="185"/>
    </row>
    <row r="2" spans="1:9" ht="15.75" thickBot="1" x14ac:dyDescent="0.3"/>
    <row r="3" spans="1:9" ht="38.25" customHeight="1" thickBot="1" x14ac:dyDescent="0.3">
      <c r="A3" s="228" t="s">
        <v>1</v>
      </c>
      <c r="B3" s="229" t="s">
        <v>23</v>
      </c>
      <c r="C3" s="229" t="s">
        <v>63</v>
      </c>
      <c r="D3" s="229" t="s">
        <v>64</v>
      </c>
      <c r="E3" s="229" t="s">
        <v>65</v>
      </c>
      <c r="F3" s="229" t="s">
        <v>66</v>
      </c>
      <c r="G3" s="229" t="s">
        <v>67</v>
      </c>
      <c r="H3" s="229" t="s">
        <v>68</v>
      </c>
      <c r="I3" s="230" t="s">
        <v>69</v>
      </c>
    </row>
    <row r="4" spans="1:9" x14ac:dyDescent="0.25">
      <c r="A4" s="216" t="s">
        <v>7</v>
      </c>
      <c r="B4" s="217" t="s">
        <v>34</v>
      </c>
      <c r="C4" s="218">
        <v>2</v>
      </c>
      <c r="D4" s="218">
        <v>4</v>
      </c>
      <c r="E4" s="218">
        <v>0</v>
      </c>
      <c r="F4" s="219">
        <f>IFERROR(C4/(C4+E4),"-")</f>
        <v>1</v>
      </c>
      <c r="G4" s="219">
        <f t="shared" ref="G4:G9" si="0">IFERROR(C4/(C4+D4),"-")</f>
        <v>0.33333333333333331</v>
      </c>
      <c r="H4" s="219">
        <f>IFERROR(2*G4*F4/(G4+F4),"-")</f>
        <v>0.5</v>
      </c>
      <c r="I4" s="220">
        <v>4</v>
      </c>
    </row>
    <row r="5" spans="1:9" x14ac:dyDescent="0.25">
      <c r="A5" s="221" t="s">
        <v>7</v>
      </c>
      <c r="B5" s="82" t="s">
        <v>53</v>
      </c>
      <c r="C5" s="4">
        <v>2</v>
      </c>
      <c r="D5" s="4">
        <v>3</v>
      </c>
      <c r="E5" s="4">
        <v>1</v>
      </c>
      <c r="F5" s="83">
        <f t="shared" ref="F5:F9" si="1">IFERROR(C5/(C5+E5),"-")</f>
        <v>0.66666666666666663</v>
      </c>
      <c r="G5" s="83">
        <f t="shared" si="0"/>
        <v>0.4</v>
      </c>
      <c r="H5" s="83">
        <f t="shared" ref="H5:H9" si="2">IFERROR(2*G5*F5/(G5+F5),"-")</f>
        <v>0.5</v>
      </c>
      <c r="I5" s="222">
        <v>3</v>
      </c>
    </row>
    <row r="6" spans="1:9" x14ac:dyDescent="0.25">
      <c r="A6" s="223" t="s">
        <v>18</v>
      </c>
      <c r="B6" s="80" t="s">
        <v>34</v>
      </c>
      <c r="C6" s="4">
        <v>5</v>
      </c>
      <c r="D6" s="4">
        <v>0</v>
      </c>
      <c r="E6" s="4">
        <v>1</v>
      </c>
      <c r="F6" s="81">
        <f t="shared" si="1"/>
        <v>0.83333333333333337</v>
      </c>
      <c r="G6" s="81">
        <f t="shared" si="0"/>
        <v>1</v>
      </c>
      <c r="H6" s="81">
        <f t="shared" si="2"/>
        <v>0.90909090909090906</v>
      </c>
      <c r="I6" s="222">
        <v>0</v>
      </c>
    </row>
    <row r="7" spans="1:9" x14ac:dyDescent="0.25">
      <c r="A7" s="221" t="s">
        <v>18</v>
      </c>
      <c r="B7" s="82" t="s">
        <v>53</v>
      </c>
      <c r="C7" s="4">
        <v>4</v>
      </c>
      <c r="D7" s="4">
        <v>0</v>
      </c>
      <c r="E7" s="4">
        <v>2</v>
      </c>
      <c r="F7" s="83">
        <f t="shared" si="1"/>
        <v>0.66666666666666663</v>
      </c>
      <c r="G7" s="83">
        <f t="shared" si="0"/>
        <v>1</v>
      </c>
      <c r="H7" s="83">
        <f t="shared" si="2"/>
        <v>0.8</v>
      </c>
      <c r="I7" s="222">
        <v>0</v>
      </c>
    </row>
    <row r="8" spans="1:9" x14ac:dyDescent="0.25">
      <c r="A8" s="223" t="s">
        <v>20</v>
      </c>
      <c r="B8" s="80" t="s">
        <v>34</v>
      </c>
      <c r="C8" s="4">
        <v>6</v>
      </c>
      <c r="D8" s="4">
        <v>0</v>
      </c>
      <c r="E8" s="4">
        <v>0</v>
      </c>
      <c r="F8" s="81">
        <f t="shared" si="1"/>
        <v>1</v>
      </c>
      <c r="G8" s="81">
        <f>IFERROR(C8/(C8+D8),"-")</f>
        <v>1</v>
      </c>
      <c r="H8" s="81">
        <f t="shared" si="2"/>
        <v>1</v>
      </c>
      <c r="I8" s="222">
        <v>0</v>
      </c>
    </row>
    <row r="9" spans="1:9" ht="15.75" thickBot="1" x14ac:dyDescent="0.3">
      <c r="A9" s="224" t="s">
        <v>20</v>
      </c>
      <c r="B9" s="225" t="s">
        <v>53</v>
      </c>
      <c r="C9" s="18">
        <v>4</v>
      </c>
      <c r="D9" s="18">
        <v>0</v>
      </c>
      <c r="E9" s="18">
        <v>2</v>
      </c>
      <c r="F9" s="226">
        <f t="shared" si="1"/>
        <v>0.66666666666666663</v>
      </c>
      <c r="G9" s="226">
        <f t="shared" si="0"/>
        <v>1</v>
      </c>
      <c r="H9" s="226">
        <f t="shared" si="2"/>
        <v>0.8</v>
      </c>
      <c r="I9" s="227">
        <v>0</v>
      </c>
    </row>
    <row r="11" spans="1:9" ht="15.75" thickBot="1" x14ac:dyDescent="0.3"/>
    <row r="12" spans="1:9" ht="15" customHeight="1" x14ac:dyDescent="0.25">
      <c r="A12" s="212" t="s">
        <v>70</v>
      </c>
      <c r="B12" s="213"/>
      <c r="C12" s="204">
        <f>C4+C6+C8</f>
        <v>13</v>
      </c>
      <c r="D12" s="205">
        <f t="shared" ref="D12:E12" si="3">D4+D6+D8</f>
        <v>4</v>
      </c>
      <c r="E12" s="205">
        <f t="shared" si="3"/>
        <v>1</v>
      </c>
      <c r="F12" s="206">
        <f>IFERROR(C12/(C12+E12),"-")</f>
        <v>0.9285714285714286</v>
      </c>
      <c r="G12" s="206">
        <f>IFERROR(C12/(C12+D12),"-")</f>
        <v>0.76470588235294112</v>
      </c>
      <c r="H12" s="207">
        <f>IFERROR(2*G12*F12/(G12+F12),"-")</f>
        <v>0.83870967741935487</v>
      </c>
    </row>
    <row r="13" spans="1:9" ht="15" customHeight="1" thickBot="1" x14ac:dyDescent="0.3">
      <c r="A13" s="214" t="s">
        <v>71</v>
      </c>
      <c r="B13" s="215"/>
      <c r="C13" s="208">
        <f>C5+C7+C9</f>
        <v>10</v>
      </c>
      <c r="D13" s="209">
        <f>D5+D7+D9</f>
        <v>3</v>
      </c>
      <c r="E13" s="209">
        <f>E5+E7+E9</f>
        <v>5</v>
      </c>
      <c r="F13" s="210">
        <f>IFERROR(C13/(C13+E13),"-")</f>
        <v>0.66666666666666663</v>
      </c>
      <c r="G13" s="210">
        <f>IFERROR(C13/(C13+D13),"-")</f>
        <v>0.76923076923076927</v>
      </c>
      <c r="H13" s="211">
        <f>IFERROR(2*G13*F13/(G13+F13),"-")</f>
        <v>0.71428571428571419</v>
      </c>
    </row>
    <row r="15" spans="1:9" x14ac:dyDescent="0.25">
      <c r="A15" s="84" t="s">
        <v>72</v>
      </c>
    </row>
  </sheetData>
  <mergeCells count="3">
    <mergeCell ref="A1:I1"/>
    <mergeCell ref="A12:B12"/>
    <mergeCell ref="A13:B13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zoomScale="115" zoomScaleNormal="115" workbookViewId="0">
      <selection activeCell="A6" sqref="A2:A6"/>
    </sheetView>
  </sheetViews>
  <sheetFormatPr baseColWidth="10" defaultColWidth="8.7109375" defaultRowHeight="15" x14ac:dyDescent="0.25"/>
  <cols>
    <col min="1" max="1" width="28" customWidth="1"/>
    <col min="2" max="3" width="12" customWidth="1"/>
    <col min="4" max="4" width="61.140625" customWidth="1"/>
  </cols>
  <sheetData>
    <row r="1" spans="1:4" ht="30" customHeight="1" thickBot="1" x14ac:dyDescent="0.3">
      <c r="A1" s="242" t="s">
        <v>73</v>
      </c>
      <c r="B1" s="243"/>
      <c r="C1" s="243"/>
      <c r="D1" s="244"/>
    </row>
    <row r="2" spans="1:4" ht="21.75" customHeight="1" x14ac:dyDescent="0.25">
      <c r="A2" s="245" t="s">
        <v>74</v>
      </c>
      <c r="B2" s="239" t="s">
        <v>75</v>
      </c>
      <c r="C2" s="240" t="s">
        <v>76</v>
      </c>
      <c r="D2" s="241" t="s">
        <v>77</v>
      </c>
    </row>
    <row r="3" spans="1:4" ht="21.75" customHeight="1" x14ac:dyDescent="0.25">
      <c r="A3" s="246" t="s">
        <v>46</v>
      </c>
      <c r="B3" s="231">
        <v>9</v>
      </c>
      <c r="C3" s="85">
        <v>6</v>
      </c>
      <c r="D3" s="232" t="s">
        <v>78</v>
      </c>
    </row>
    <row r="4" spans="1:4" ht="21.75" customHeight="1" x14ac:dyDescent="0.25">
      <c r="A4" s="247" t="s">
        <v>41</v>
      </c>
      <c r="B4" s="233">
        <v>4</v>
      </c>
      <c r="C4" s="86">
        <v>4</v>
      </c>
      <c r="D4" s="234" t="s">
        <v>79</v>
      </c>
    </row>
    <row r="5" spans="1:4" ht="31.5" customHeight="1" x14ac:dyDescent="0.25">
      <c r="A5" s="246" t="s">
        <v>80</v>
      </c>
      <c r="B5" s="231">
        <v>5</v>
      </c>
      <c r="C5" s="85">
        <v>8</v>
      </c>
      <c r="D5" s="235" t="s">
        <v>119</v>
      </c>
    </row>
    <row r="6" spans="1:4" ht="21.75" customHeight="1" thickBot="1" x14ac:dyDescent="0.3">
      <c r="A6" s="248" t="s">
        <v>81</v>
      </c>
      <c r="B6" s="236">
        <f>SUM(B3:B5)</f>
        <v>18</v>
      </c>
      <c r="C6" s="237">
        <f>SUM(C3:C5)</f>
        <v>18</v>
      </c>
      <c r="D6" s="238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abSelected="1" zoomScaleNormal="100" workbookViewId="0">
      <selection activeCell="D17" sqref="D17"/>
    </sheetView>
  </sheetViews>
  <sheetFormatPr baseColWidth="10" defaultColWidth="8.7109375" defaultRowHeight="15" x14ac:dyDescent="0.25"/>
  <cols>
    <col min="1" max="1" width="10" customWidth="1"/>
    <col min="2" max="2" width="14" customWidth="1"/>
    <col min="3" max="6" width="12" customWidth="1"/>
    <col min="7" max="7" width="14" customWidth="1"/>
  </cols>
  <sheetData>
    <row r="1" spans="1:7" ht="30" customHeight="1" thickBot="1" x14ac:dyDescent="0.3">
      <c r="A1" s="166" t="s">
        <v>82</v>
      </c>
      <c r="B1" s="166"/>
      <c r="C1" s="166"/>
      <c r="D1" s="166"/>
      <c r="E1" s="166"/>
      <c r="F1" s="166"/>
      <c r="G1" s="166"/>
    </row>
    <row r="2" spans="1:7" ht="21.75" customHeight="1" thickBot="1" x14ac:dyDescent="0.3">
      <c r="A2" s="249" t="s">
        <v>83</v>
      </c>
      <c r="B2" s="250" t="s">
        <v>23</v>
      </c>
      <c r="C2" s="254" t="s">
        <v>84</v>
      </c>
      <c r="D2" s="256"/>
      <c r="E2" s="255" t="s">
        <v>85</v>
      </c>
      <c r="F2" s="256"/>
      <c r="G2" s="250" t="s">
        <v>86</v>
      </c>
    </row>
    <row r="3" spans="1:7" ht="21.75" customHeight="1" thickBot="1" x14ac:dyDescent="0.3">
      <c r="A3" s="252"/>
      <c r="B3" s="253"/>
      <c r="C3" s="257" t="s">
        <v>87</v>
      </c>
      <c r="D3" s="258" t="s">
        <v>88</v>
      </c>
      <c r="E3" s="259" t="s">
        <v>87</v>
      </c>
      <c r="F3" s="260" t="s">
        <v>88</v>
      </c>
      <c r="G3" s="251"/>
    </row>
    <row r="4" spans="1:7" ht="21.75" customHeight="1" thickBot="1" x14ac:dyDescent="0.3">
      <c r="A4" s="261" t="s">
        <v>7</v>
      </c>
      <c r="B4" s="262" t="s">
        <v>75</v>
      </c>
      <c r="C4" s="262">
        <v>2</v>
      </c>
      <c r="D4" s="263">
        <v>0</v>
      </c>
      <c r="E4" s="264">
        <v>0</v>
      </c>
      <c r="F4" s="265">
        <v>0</v>
      </c>
      <c r="G4" s="266" t="str" cm="1">
        <f t="array" ref="G4">_xlfn.IFS(C4&lt;&gt;E4,"NEI",D4&lt;&gt;F4,"NEI",TRUE,"JA")</f>
        <v>NEI</v>
      </c>
    </row>
    <row r="5" spans="1:7" ht="21.75" customHeight="1" thickBot="1" x14ac:dyDescent="0.3">
      <c r="A5" s="267" t="s">
        <v>7</v>
      </c>
      <c r="B5" s="268" t="s">
        <v>76</v>
      </c>
      <c r="C5" s="268">
        <v>2</v>
      </c>
      <c r="D5" s="269">
        <v>0</v>
      </c>
      <c r="E5" s="270">
        <v>0</v>
      </c>
      <c r="F5" s="271">
        <v>1</v>
      </c>
      <c r="G5" s="272" t="str" cm="1">
        <f t="array" ref="G5">_xlfn.IFS(C5&lt;&gt;E5,"NEI",D5&lt;&gt;F5,"NEI",TRUE,"JA")</f>
        <v>NEI</v>
      </c>
    </row>
    <row r="6" spans="1:7" ht="21.75" customHeight="1" thickBot="1" x14ac:dyDescent="0.3">
      <c r="A6" s="261" t="s">
        <v>18</v>
      </c>
      <c r="B6" s="262" t="s">
        <v>75</v>
      </c>
      <c r="C6" s="262">
        <v>2</v>
      </c>
      <c r="D6" s="263">
        <v>1</v>
      </c>
      <c r="E6" s="264">
        <v>3</v>
      </c>
      <c r="F6" s="265">
        <v>0</v>
      </c>
      <c r="G6" s="273" t="str" cm="1">
        <f t="array" ref="G6">_xlfn.IFS(C6&lt;&gt;E6,"NEI",D6&lt;&gt;F6,"NEI",TRUE,"JA")</f>
        <v>NEI</v>
      </c>
    </row>
    <row r="7" spans="1:7" ht="21.75" customHeight="1" thickBot="1" x14ac:dyDescent="0.3">
      <c r="A7" s="267" t="s">
        <v>18</v>
      </c>
      <c r="B7" s="268" t="s">
        <v>76</v>
      </c>
      <c r="C7" s="268">
        <v>2</v>
      </c>
      <c r="D7" s="269">
        <v>1</v>
      </c>
      <c r="E7" s="270">
        <v>2</v>
      </c>
      <c r="F7" s="271">
        <v>1</v>
      </c>
      <c r="G7" s="272" t="str" cm="1">
        <f t="array" ref="G7">_xlfn.IFS(C7&lt;&gt;E7,"NEI",D7&lt;&gt;F7,"NEI",TRUE,"JA")</f>
        <v>JA</v>
      </c>
    </row>
    <row r="8" spans="1:7" ht="21.75" customHeight="1" thickBot="1" x14ac:dyDescent="0.3">
      <c r="A8" s="261" t="s">
        <v>20</v>
      </c>
      <c r="B8" s="262" t="s">
        <v>75</v>
      </c>
      <c r="C8" s="262">
        <v>3</v>
      </c>
      <c r="D8" s="263">
        <v>0</v>
      </c>
      <c r="E8" s="264">
        <v>3</v>
      </c>
      <c r="F8" s="265">
        <v>0</v>
      </c>
      <c r="G8" s="273" t="str" cm="1">
        <f t="array" ref="G8">_xlfn.IFS(C8&lt;&gt;E8,"NEI",D8&lt;&gt;F8,"NEI",TRUE,"JA")</f>
        <v>JA</v>
      </c>
    </row>
    <row r="9" spans="1:7" ht="21.75" customHeight="1" thickBot="1" x14ac:dyDescent="0.3">
      <c r="A9" s="267" t="s">
        <v>20</v>
      </c>
      <c r="B9" s="268" t="s">
        <v>76</v>
      </c>
      <c r="C9" s="268">
        <v>2</v>
      </c>
      <c r="D9" s="269">
        <v>1</v>
      </c>
      <c r="E9" s="270">
        <v>2</v>
      </c>
      <c r="F9" s="271">
        <v>1</v>
      </c>
      <c r="G9" s="272" t="str" cm="1">
        <f t="array" ref="G9">_xlfn.IFS(C9&lt;&gt;E9,"NEI",D9&lt;&gt;F9,"NEI",TRUE,"JA")</f>
        <v>JA</v>
      </c>
    </row>
    <row r="11" spans="1:7" ht="18" customHeight="1" x14ac:dyDescent="0.25">
      <c r="A11" s="186" t="s">
        <v>89</v>
      </c>
      <c r="B11" s="187"/>
      <c r="C11" s="187"/>
      <c r="D11" s="187"/>
      <c r="E11" s="187"/>
      <c r="F11" s="187"/>
      <c r="G11" s="187"/>
    </row>
  </sheetData>
  <mergeCells count="7">
    <mergeCell ref="A11:G11"/>
    <mergeCell ref="A1:G1"/>
    <mergeCell ref="A2:A3"/>
    <mergeCell ref="B2:B3"/>
    <mergeCell ref="C2:D2"/>
    <mergeCell ref="E2:F2"/>
    <mergeCell ref="G2:G3"/>
  </mergeCells>
  <conditionalFormatting sqref="G4:G6">
    <cfRule type="cellIs" dxfId="12" priority="1" operator="equal">
      <formula>"NEI"</formula>
    </cfRule>
  </conditionalFormatting>
  <conditionalFormatting sqref="G4:G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9">
    <cfRule type="cellIs" dxfId="11" priority="2" operator="equal">
      <formula>"JA"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Fasitlogg (2)</vt:lpstr>
      <vt:lpstr>Rådata ablasjon (2)</vt:lpstr>
      <vt:lpstr>Recall</vt:lpstr>
      <vt:lpstr>Precision</vt:lpstr>
      <vt:lpstr>F1 Score</vt:lpstr>
      <vt:lpstr>Beregninger ablasjon (2)</vt:lpstr>
      <vt:lpstr>Flaggingskategorier (2)</vt:lpstr>
      <vt:lpstr>Konsistens_kjøringer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 Rezaie</cp:lastModifiedBy>
  <cp:revision>1</cp:revision>
  <dcterms:created xsi:type="dcterms:W3CDTF">2026-04-18T16:27:45Z</dcterms:created>
  <dcterms:modified xsi:type="dcterms:W3CDTF">2026-05-11T11:57:45Z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/Folder_Description/">
    <vt:lpwstr/>
  </property>
  <property fmtid="{D5CDD505-2E9C-101B-9397-08002B2CF9AE}" pid="3" name="/Folder_Name/">
    <vt:lpwstr/>
  </property>
  <property fmtid="{D5CDD505-2E9C-101B-9397-08002B2CF9AE}" pid="4" name="Document_CreateDate">
    <vt:lpwstr/>
  </property>
  <property fmtid="{D5CDD505-2E9C-101B-9397-08002B2CF9AE}" pid="5" name="Document_Creator">
    <vt:lpwstr/>
  </property>
  <property fmtid="{D5CDD505-2E9C-101B-9397-08002B2CF9AE}" pid="6" name="Document_CreatorDesc">
    <vt:lpwstr/>
  </property>
  <property fmtid="{D5CDD505-2E9C-101B-9397-08002B2CF9AE}" pid="7" name="Document_Department">
    <vt:lpwstr/>
  </property>
  <property fmtid="{D5CDD505-2E9C-101B-9397-08002B2CF9AE}" pid="8" name="Document_DepartmentDesc">
    <vt:lpwstr/>
  </property>
  <property fmtid="{D5CDD505-2E9C-101B-9397-08002B2CF9AE}" pid="9" name="Document_FileName">
    <vt:lpwstr/>
  </property>
  <property fmtid="{D5CDD505-2E9C-101B-9397-08002B2CF9AE}" pid="10" name="Document_Name">
    <vt:lpwstr/>
  </property>
  <property fmtid="{D5CDD505-2E9C-101B-9397-08002B2CF9AE}" pid="11" name="Document_Number">
    <vt:lpwstr/>
  </property>
  <property fmtid="{D5CDD505-2E9C-101B-9397-08002B2CF9AE}" pid="12" name="Document_Size">
    <vt:lpwstr/>
  </property>
  <property fmtid="{D5CDD505-2E9C-101B-9397-08002B2CF9AE}" pid="13" name="Document_Storage">
    <vt:lpwstr/>
  </property>
  <property fmtid="{D5CDD505-2E9C-101B-9397-08002B2CF9AE}" pid="14" name="Document_StorageDesc">
    <vt:lpwstr/>
  </property>
  <property fmtid="{D5CDD505-2E9C-101B-9397-08002B2CF9AE}" pid="15" name="Document_UpdateDate">
    <vt:lpwstr/>
  </property>
  <property fmtid="{D5CDD505-2E9C-101B-9397-08002B2CF9AE}" pid="16" name="Document_Updater">
    <vt:lpwstr/>
  </property>
  <property fmtid="{D5CDD505-2E9C-101B-9397-08002B2CF9AE}" pid="17" name="Document_UpdaterDesc">
    <vt:lpwstr/>
  </property>
  <property fmtid="{D5CDD505-2E9C-101B-9397-08002B2CF9AE}" pid="18" name="Document_Version">
    <vt:lpwstr/>
  </property>
  <property fmtid="{D5CDD505-2E9C-101B-9397-08002B2CF9AE}" pid="19" name="Document_VersionSeq">
    <vt:lpwstr/>
  </property>
  <property fmtid="{D5CDD505-2E9C-101B-9397-08002B2CF9AE}" pid="20" name="Folder_Code">
    <vt:lpwstr/>
  </property>
  <property fmtid="{D5CDD505-2E9C-101B-9397-08002B2CF9AE}" pid="21" name="Folder_CreateDate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Description">
    <vt:lpwstr/>
  </property>
  <property fmtid="{D5CDD505-2E9C-101B-9397-08002B2CF9AE}" pid="25" name="Folder_Manager">
    <vt:lpwstr/>
  </property>
  <property fmtid="{D5CDD505-2E9C-101B-9397-08002B2CF9AE}" pid="26" name="Folder_ManagerDesc">
    <vt:lpwstr/>
  </property>
  <property fmtid="{D5CDD505-2E9C-101B-9397-08002B2CF9AE}" pid="27" name="Folder_Name">
    <vt:lpwstr/>
  </property>
  <property fmtid="{D5CDD505-2E9C-101B-9397-08002B2CF9AE}" pid="28" name="Folder_Number">
    <vt:lpwstr/>
  </property>
  <property fmtid="{D5CDD505-2E9C-101B-9397-08002B2CF9AE}" pid="29" name="Folder_Storage">
    <vt:lpwstr/>
  </property>
  <property fmtid="{D5CDD505-2E9C-101B-9397-08002B2CF9AE}" pid="30" name="Folder_StorageDesc">
    <vt:lpwstr/>
  </property>
  <property fmtid="{D5CDD505-2E9C-101B-9397-08002B2CF9AE}" pid="31" name="Folder_UpdateDate">
    <vt:lpwstr/>
  </property>
  <property fmtid="{D5CDD505-2E9C-101B-9397-08002B2CF9AE}" pid="32" name="Folder_Updater">
    <vt:lpwstr/>
  </property>
  <property fmtid="{D5CDD505-2E9C-101B-9397-08002B2CF9AE}" pid="33" name="Folder_UpdaterDesc">
    <vt:lpwstr/>
  </property>
  <property fmtid="{D5CDD505-2E9C-101B-9397-08002B2CF9AE}" pid="34" name="Folder_Version">
    <vt:lpwstr/>
  </property>
  <property fmtid="{D5CDD505-2E9C-101B-9397-08002B2CF9AE}" pid="35" name="Folder_VersionSeq">
    <vt:lpwstr/>
  </property>
  <property fmtid="{D5CDD505-2E9C-101B-9397-08002B2CF9AE}" pid="36" name="MSIP_Label_20ea7001-5c24-4702-a3ac-e436ccb02747_ActionId">
    <vt:lpwstr>7091c2c6-30fa-4ade-b8d1-e45cdbcaefe3</vt:lpwstr>
  </property>
  <property fmtid="{D5CDD505-2E9C-101B-9397-08002B2CF9AE}" pid="37" name="MSIP_Label_20ea7001-5c24-4702-a3ac-e436ccb02747_ContentBits">
    <vt:lpwstr>2</vt:lpwstr>
  </property>
  <property fmtid="{D5CDD505-2E9C-101B-9397-08002B2CF9AE}" pid="38" name="MSIP_Label_20ea7001-5c24-4702-a3ac-e436ccb02747_Enabled">
    <vt:lpwstr>true</vt:lpwstr>
  </property>
  <property fmtid="{D5CDD505-2E9C-101B-9397-08002B2CF9AE}" pid="39" name="MSIP_Label_20ea7001-5c24-4702-a3ac-e436ccb02747_Method">
    <vt:lpwstr>Standard</vt:lpwstr>
  </property>
  <property fmtid="{D5CDD505-2E9C-101B-9397-08002B2CF9AE}" pid="40" name="MSIP_Label_20ea7001-5c24-4702-a3ac-e436ccb02747_Name">
    <vt:lpwstr>Confidential</vt:lpwstr>
  </property>
  <property fmtid="{D5CDD505-2E9C-101B-9397-08002B2CF9AE}" pid="41" name="MSIP_Label_20ea7001-5c24-4702-a3ac-e436ccb02747_SetDate">
    <vt:lpwstr>2026-04-20T11:04:11Z</vt:lpwstr>
  </property>
  <property fmtid="{D5CDD505-2E9C-101B-9397-08002B2CF9AE}" pid="42" name="MSIP_Label_20ea7001-5c24-4702-a3ac-e436ccb02747_SiteId">
    <vt:lpwstr>c8823c91-be81-4f89-b024-6c3dd789c106</vt:lpwstr>
  </property>
  <property fmtid="{D5CDD505-2E9C-101B-9397-08002B2CF9AE}" pid="43" name="MSIP_Label_20ea7001-5c24-4702-a3ac-e436ccb02747_Tag">
    <vt:lpwstr>10, 3, 0, 1</vt:lpwstr>
  </property>
</Properties>
</file>
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tables/table2.xml" ContentType="application/vnd.openxmlformats-officedocument.spreadsheetml.table+xml"/>
  <Override PartName="/xl/tables/table3.xml" ContentType="application/vnd.openxmlformats-officedocument.spreadsheetml.table+xml"/>
  <Override PartName="/xl/drawings/drawing3.xml" ContentType="application/vnd.openxmlformats-officedocument.drawing+xml"/>
  <Override PartName="/xl/tables/table4.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ml.chartshapes+xml"/>
  <Override PartName="/xl/drawings/drawing6.xml" ContentType="application/vnd.openxmlformats-officedocument.drawing+xml"/>
  <Override PartName="/xl/tables/table5.xml" ContentType="application/vnd.openxmlformats-officedocument.spreadsheetml.tab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7.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8.xml" ContentType="application/vnd.openxmlformats-officedocument.drawingml.chartshapes+xml"/>
  <Override PartName="/xl/drawings/drawing9.xml" ContentType="application/vnd.openxmlformats-officedocument.drawing+xml"/>
  <Override PartName="/xl/tables/table6.xml" ContentType="application/vnd.openxmlformats-officedocument.spreadsheetml.tab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4.xml" ContentType="application/vnd.openxmlformats-officedocument.spreadsheetml.pivotTable+xml"/>
  <Override PartName="/xl/drawings/drawing10.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11.xml" ContentType="application/vnd.openxmlformats-officedocument.drawingml.chartshapes+xml"/>
  <Override PartName="/xl/drawings/drawing12.xml" ContentType="application/vnd.openxmlformats-officedocument.drawing+xml"/>
  <Override PartName="/xl/tables/table7.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ramboll-my.sharepoint.com/personal/ahmad_rezaie_ramboll_no/Documents/"/>
    </mc:Choice>
  </mc:AlternateContent>
  <xr:revisionPtr revIDLastSave="1578" documentId="8_{95345DCC-D725-4FF3-B381-C544625CACA4}" xr6:coauthVersionLast="47" xr6:coauthVersionMax="47" xr10:uidLastSave="{9F613370-6868-4D1C-B43B-9994142C52A4}"/>
  <bookViews>
    <workbookView xWindow="-120" yWindow="-120" windowWidth="29040" windowHeight="15720" tabRatio="895" xr2:uid="{00000000-000D-0000-FFFF-FFFF00000000}"/>
  </bookViews>
  <sheets>
    <sheet name="Spørreskjema (2)" sheetId="3" r:id="rId1"/>
    <sheet name="Etterarbeid 2" sheetId="18" r:id="rId2"/>
    <sheet name="Begrunnelser" sheetId="13" r:id="rId3"/>
    <sheet name="Faglig" sheetId="7" r:id="rId4"/>
    <sheet name="Fagli SUM" sheetId="8" r:id="rId5"/>
    <sheet name="Korrekt inndata" sheetId="9" r:id="rId6"/>
    <sheet name="Korrekt inndata SUM" sheetId="10" r:id="rId7"/>
    <sheet name="Ekspert nivå VS. tekst" sheetId="11" r:id="rId8"/>
    <sheet name="Ekspertnivå SUM" sheetId="12" r:id="rId9"/>
    <sheet name="Skjemasvar 1" sheetId="1" r:id="rId10"/>
  </sheets>
  <calcPr calcId="191029"/>
  <pivotCaches>
    <pivotCache cacheId="3" r:id="rId11"/>
    <pivotCache cacheId="4" r:id="rId12"/>
    <pivotCache cacheId="5" r:id="rId13"/>
    <pivotCache cacheId="6" r:id="rId1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6" i="3" l="1"/>
  <c r="J29" i="3"/>
  <c r="J30" i="3"/>
  <c r="J31" i="3"/>
  <c r="J28" i="3"/>
</calcChain>
</file>

<file path=xl/sharedStrings.xml><?xml version="1.0" encoding="utf-8"?>
<sst xmlns="http://schemas.openxmlformats.org/spreadsheetml/2006/main" count="727" uniqueCount="111">
  <si>
    <t>Tidsmerke</t>
  </si>
  <si>
    <t>Hvem er du, og hvilken tekst vurderer du nå? (Skriv navnet på filen)</t>
  </si>
  <si>
    <t>I hvilken grad er teksten faglig korrekt og forankret i henhold til TEK17, VTEK17 og NS 3901?</t>
  </si>
  <si>
    <t>Begrunn kort: Hva er faglig sterkt eller svakt? 
Hva er tekstens viktigste styrke og viktigste svakhet?
Nevn gjerne konkrete feil eller mangler hvis du oppdaget noen.</t>
  </si>
  <si>
    <t>I hvilken grad er teksten tilpasset de konkrete inndata for dette caset, eller fremstår den som generisk mal-tekst? Med «generisk» menes tekst som kunne passet ethvert fraviksdokument uten endringer – den bruker ikke de konkrete tallene, bygningstypen eller fravikets art fra inndata.</t>
  </si>
  <si>
    <t>Begrunn kort: Hva er prosjektspesifikt og hva fremstår generisk? Mistenker du at noen opplysninger er fylt inn uten å være forankret i inndata?</t>
  </si>
  <si>
    <t xml:space="preserve">Hvor godt tilsvarer teksten nivået en erfaren brannrådgiver ville skrevet?  </t>
  </si>
  <si>
    <t xml:space="preserve">Hvor mye etterarbeid krever teksten før den kan brukes i et reelt prosjekt?  </t>
  </si>
  <si>
    <t xml:space="preserve">Brannscenario 1 er ikke beskrevet for analysebyggverk og referansebyggverk, bare opplisting av hvilke ytelser byggene har. Det er kun i sammenligningen at det faktiske scenarioet beskrives for byggene. En klar svakhet er vurdering er vurdering av brannbelastning som ikke er forklart. </t>
  </si>
  <si>
    <t>brannbelastning fremstår generisk (og feil)</t>
  </si>
  <si>
    <t>15–30 minutter</t>
  </si>
  <si>
    <t>Vurderingen kunne vært enda mer konkret for det aktuelle brannscenario. Får trekk for at ikke verdisikkerhet er vurdert/(nevnt). Kulepunkter i sammenligningen er ikke heldig.</t>
  </si>
  <si>
    <t>Info om brannvesen framstår som generisk. F-RAP-001B Rømningsanalyse" er veldig spesifikt.</t>
  </si>
  <si>
    <t>Under 15 minutter</t>
  </si>
  <si>
    <t>Svake vurderinger brannscenario for analyse- og referansebyggverk. Her er det stort sett oppramsing av ytelser. Sammenligningen er ganske god, men er ikke tydelig på verdisikring. Det er også en oppramsing av tabell 4 som allerede beskriver forskjellene.</t>
  </si>
  <si>
    <t>de nøyaktige referansene til paragrafer i TEK17 virker generiske.</t>
  </si>
  <si>
    <t>Generelt: Har ikke tegningsgrunnlag/brannplaner. Står endel henvisninger til dokumenter jeg ikke har tilgang på. Uvisst om UKPR har tilgang på disse, eller om de er utdypet i brannkonsept. F.eks. sprinkler hva/hvor er portrom. Tabell 7 viser ikke veldig utfyllende hvordan rømningssituasjonen er (to TR2 trapperom). Brannscenarioer; laserom hvor/hva? Lagerrom er dette tilknyttet/Egen BC? Teknisk rom (desentralisert/plassering/vent prinsipp/fosyningsområder/egen BC?). Har litt lite input ift. å gjøre en vurdering av satte brannscenarioer.</t>
  </si>
  <si>
    <t>Står nødmeldesentral ikke varsling til BV. Noe spesiell tekst; og romhøyden fra 8. etasje til underkant 9. etasje er avgren-set av ubrennbare kledninger K210 A2-s1,d0". Er det ubrennbare kledninger i himling/vegger/overalt/innslag? Står; Vegger mot trapperom er EI 30-CS som forutsatt i VTEK17. Menes her dør? Står; "dobbelt rømningsbredde" lite presist. Står vel aldri noe sted hva bredde på dørene er. Faktisk persontall eller det dimensjonerte?</t>
  </si>
  <si>
    <t>30–60 minutter</t>
  </si>
  <si>
    <t>Hentet fra A. Generelt: Har ikke tegningsgrunnlag/brannplaner. Står endel henvisninger til dokumenter jeg ikke har tilgang på. Uvisst om UKPR har tilgang på disse, eller om de er utdypet i brannkonsept. F.eks. sprinkler hva/hvor er portrom. Tabell 7 viser ikke veldig utfyllende hvordan rømningssituasjonen er (to TR2 trapperom). Brannscenarioer; laserom hvor/hva? Lagerrom er dette tilknyttet/Egen BC? Teknisk rom (desentralisert/plassering/vent prinsipp/fosyningsområder/egen BC?). Har litt lite input ift. å gjøre en vurdering av satte brannscenarioer.</t>
  </si>
  <si>
    <t>Står rart ift. brannvesenets innsats (ikke prosjektspesifikt). Henviser til rapporter og analyser jeg ikke har tilgjengelig. Står noe ift. annen leietakerareal, uvisst hvor dette er, og om det andre TR2 trapperommet er via her. Står sentrum brannstasjon, var ikke på input hvertfl. Står noe ift. møbler, tekstiler og brennbare kosmetiske væsker. Uvisst hva som står i brannkonsept, men er ikke noe info om dette innledningsvis. Savner en tydeligere sammenligning, evt. presisering ift. om situasjonen er bedre ift. referansebyggverket.</t>
  </si>
  <si>
    <t>Står at referansebygget er sprinklet. Missmatch mot tabell 4. Står ikke fri bredde på dører (3,2 cm per pers er vagt); er det de 15 personene eller dimensjonert tall?</t>
  </si>
  <si>
    <t xml:space="preserve">Se over. generelt syns jeg tekst virker generisk. </t>
  </si>
  <si>
    <t>Fin, presis beskrivelse av fraviket og konklusjon. Når det gjelder forankring iht. standarden løses dette i storgrad av malfilen og hvordan denne er bygd opp.</t>
  </si>
  <si>
    <t xml:space="preserve">Beskrivelsen av løsningen er prosjektspesifikt, men selve fraviket er et standardfravik. </t>
  </si>
  <si>
    <t xml:space="preserve">Fremstår som et godt skrevet fravik. </t>
  </si>
  <si>
    <t>God beskrivelse av analysebyggverket og referansebyggverket. Fremstår ikke veldig generisk</t>
  </si>
  <si>
    <t>Fremstår faglig korrekt og godt skrevet. Misstenker at dette er AI, for det brukes litt begreper noen av oss antageligvis ikke ville benyttet.</t>
  </si>
  <si>
    <t>Ser prosjektspesifikk, med litt generisk informasjon som man må forvente</t>
  </si>
  <si>
    <t>Det er relevante forhold knyttet til rømning, redning og tapspotensiale som sammenlignes. Gunstige forhold i analysebyggverket, som beskrevet, er relevante. Feil: Det er ikke samsvar mellom antall fravik i kap. 3.2 og 3.4. Svakheter ift NS 3901: Analysen tar bare for seg Brannscenario 1. KOnsekvenser ved scenario 2 og 4 burde vært tatt med. Det er ikke beskrevet hvordan fravikene innvirker på hverandre, om de eventuelt forsterker hverandre.</t>
  </si>
  <si>
    <t>Det meste fremstår prosjektspesifikt.</t>
  </si>
  <si>
    <t>Mer enn 60 minutter</t>
  </si>
  <si>
    <t xml:space="preserve">Analysene av analysebyggverk og referansebyggverk er hver for seg ok. I sammenligningen mht verdisikkerhet er det ikke riktig at analysebyggverket har liten grunnflate eller at det nødvendigvis er vanskeligere å få kontroll på brann i et 2-etasjes bygg. Trapperom kan være gode angrepsveier, og hver avdeling er preakseptert inndelt i egne brannceller i begge bygg. Scenario 2 og 4 burde vært medtatt i konsekvensanalysen. </t>
  </si>
  <si>
    <t>Beskrivelser av analysebygg vs referansebygg ser ut til å stemme med inndata. Siste avsnitt i sammenligningen virker som generisk, fremstår som en påstand.</t>
  </si>
  <si>
    <t>Teksten tar ikke for seg konsekvenser for personsikkerhet/rømning eller tapspotensiale mht barn som kan miste barnehageplass. At krav i TEK er oppfylt fremstår som påstand uten begrunnelse.</t>
  </si>
  <si>
    <t>Beskrivelser av faktiske forhold knyttet til hhv analysebygg og referanse bygg er OK.  To hydrantpunkter og en brannkum ser ut til å stemme.</t>
  </si>
  <si>
    <t>Fremgangsmåten ser bra ut men det faller fra hverandre med skrivefeil og faktafeil. Det står at rømningskorridoren vil motta tidlig varsling. Rømningskorridoren er uansett ikke problemet med fraviket. Det står at økt volum gir økt tid til overtenning, og at brannvesenet slipper søke gjennom mange rom. Det er like mange rom selv om det ikke er delt inn i branneller. Argument om økt romvolum og færre rom å søke i blir feil.</t>
  </si>
  <si>
    <t>Det står at samlet branncelle har færre dører enn referansebyggverket, feil.</t>
  </si>
  <si>
    <t>dårlig språk om brannbleastning og slokkeytelse. Angir for store dørbredder som kompenserende tiltak. Angir feil persontall i referansebygg. Bør beskrive mer om brannsmitte mellom rommene, og hvordan dette påvirker ulike pasienter i ulike rom.</t>
  </si>
  <si>
    <t>Bra at det argumenteres med de kompenserende tiltak. Noe faktafeil fra inndata.</t>
  </si>
  <si>
    <t>Mulig faktafeil med 13M dører, faktafeil med EI60 dører i referansebygg. Bra med fokus på god oversikt mellom rom i samme branncelle. Faktafeil på persontall. Lurt å fokusere på at referansebygg heller ikke har krav om selvlukker på dørene. Bra med fokus på persontallet. mangler vurderinger med korte og mange rømningsveier som er kompenserende tiltak.</t>
  </si>
  <si>
    <t>faktafeil angitt i forrige punkt</t>
  </si>
  <si>
    <t xml:space="preserve">Sammenligningen angir at R30 er kompenserende noe det vel er siden det kunne vært R15, men det er i beskrivelse av referansebyggverk angitt R 30 A2-s1,d0, som er bedre. Selv om R30 er kompenserende for analysebygget er det sammenlignet med ref bygget ikke noe bedre. Seksjonering ville gitt mye høyere bæreevne.  </t>
  </si>
  <si>
    <t xml:space="preserve">Litt mye fylltekst og dårlig formatering i form av ingen avsnitt og litt lite sammenheng fra en setning til neste. Men detaljene er hovedsakelig på plass. </t>
  </si>
  <si>
    <t>Ganske konkret, kunne sammenlignet brannscenarioet enda tydeligere i sammenligningen kanskje.</t>
  </si>
  <si>
    <t xml:space="preserve">Stort sett sammenheng mellom en setning til neste, noen ord jeg ikke ville brukt selv, men det kan være egen preferanse, eksempel "utformet med kompenserende tiltak", "de åpne rømningsløsningene" er ikke ting jeg selv ville skrevet. </t>
  </si>
  <si>
    <t>Veldig konkret og prosjektspesifikt. Viktig å ikke "snakke ned" referansebygget, noe denne teksten løser greit.</t>
  </si>
  <si>
    <t xml:space="preserve">Beskriver menneskene som en del av konsekvensen ved brann, det er menneskelig gjort. Bruker tall og lager et ryddig hendelsestre. Fremstår som den beste teksten ut av alle. </t>
  </si>
  <si>
    <t>Tekst_A_Rådgiver6</t>
  </si>
  <si>
    <t>Tekst_B_Rådgiver6</t>
  </si>
  <si>
    <t>Tekst_C_Rådgiver6</t>
  </si>
  <si>
    <t>Tekst_A_Rådgiver3</t>
  </si>
  <si>
    <t>Tekst_B_Rådgiver3</t>
  </si>
  <si>
    <t>Tekst_C_Rådgiver3</t>
  </si>
  <si>
    <t>Tekst_B_Rådgiver5</t>
  </si>
  <si>
    <t>Tekst_C_Rådgiver5</t>
  </si>
  <si>
    <t>Tekst_A_Rådgiver5</t>
  </si>
  <si>
    <t>Tekst_A_Rådgiver1</t>
  </si>
  <si>
    <t>Tekst_B_Rådgiver1</t>
  </si>
  <si>
    <t>Tekst_C_Rådgiver1</t>
  </si>
  <si>
    <t>Tekst_A_Rådgiver2</t>
  </si>
  <si>
    <t>Tekst_B_Rådgiver2</t>
  </si>
  <si>
    <t>Tekst_C_Rådgiver2</t>
  </si>
  <si>
    <t>Tekst_A_Rådgiver4</t>
  </si>
  <si>
    <t>Tekst_B_Rådgiver4</t>
  </si>
  <si>
    <t>Tekst_C_Rådgiver4</t>
  </si>
  <si>
    <t>Tekst navn</t>
  </si>
  <si>
    <t xml:space="preserve">Case </t>
  </si>
  <si>
    <t>Faglig korrekt og forankret i henhold til TEK17, VTEK17 og NS 3901</t>
  </si>
  <si>
    <t>Korrekt inndata / generisk tekst</t>
  </si>
  <si>
    <t>Begrunnelse: Prosjektspesifikt og hva fremstår generisk</t>
  </si>
  <si>
    <t xml:space="preserve">Begrunnelse: STYRKE/SVAKHET
</t>
  </si>
  <si>
    <t xml:space="preserve">Nivå: Teksten VS. Erfaren brannrådgiver </t>
  </si>
  <si>
    <t>Etterarbeid til reelt prosjekt</t>
  </si>
  <si>
    <t>Radetiketter</t>
  </si>
  <si>
    <t>Totalsum</t>
  </si>
  <si>
    <t>Rådgiver</t>
  </si>
  <si>
    <t>Summer av Faglig korrekt og forankret i henhold til TEK17, VTEK17 og NS 3901</t>
  </si>
  <si>
    <t>Kolonneetiketter</t>
  </si>
  <si>
    <t>Summer av Korrekt inndata / generisk tekst</t>
  </si>
  <si>
    <t xml:space="preserve">Summer av Nivå: Teksten VS. Erfaren brannrådgiver </t>
  </si>
  <si>
    <t>Ekspert</t>
  </si>
  <si>
    <t>AI m/Eks</t>
  </si>
  <si>
    <t>AI u/Eks</t>
  </si>
  <si>
    <t>Tekster</t>
  </si>
  <si>
    <t>Ekspert - Faglig korrekt og forankret i henhold til TEK17, VTEK17 og NS 3901</t>
  </si>
  <si>
    <t>R1</t>
  </si>
  <si>
    <t>R2</t>
  </si>
  <si>
    <t>R3</t>
  </si>
  <si>
    <t>R4</t>
  </si>
  <si>
    <t>R5</t>
  </si>
  <si>
    <t>R6</t>
  </si>
  <si>
    <t>Summer av Faglig korrekt og forankret i henhold til TEK17, VTEK17 og NS 3901 av Rådgiver</t>
  </si>
  <si>
    <t>Summer av Korrekt inndata / generisk tekst av Rådgiver</t>
  </si>
  <si>
    <t>AI m/Eks - Korrekt inndata / generisk tekst</t>
  </si>
  <si>
    <t>AI u/Eks - Korrekt inndata / generisk tekst</t>
  </si>
  <si>
    <t>Ekspert - Korrekt inndata / generisk tekst</t>
  </si>
  <si>
    <t>Summer av Nivå: Teksten VS. Erfaren brannrådgiver  av Rådgiver</t>
  </si>
  <si>
    <t>AI m/Eks - Faglig korrekt og forankret i henhold til TEK17, VTEK17 og NS 3901</t>
  </si>
  <si>
    <t>AI u/Eks - Faglig korrekt og forankret i henhold til TEK17, VTEK17 og NS 3901</t>
  </si>
  <si>
    <t xml:space="preserve">AI m/Eks - Nivå: Teksten VS. Erfaren brannrådgiver </t>
  </si>
  <si>
    <t xml:space="preserve">AI u/Eks - Nivå: Teksten VS. Erfaren brannrådgiver </t>
  </si>
  <si>
    <t xml:space="preserve">Ekspert - Nivå: Teksten VS. Erfaren brannrådgiver </t>
  </si>
  <si>
    <t>Etterarbeid til reelt prosjekt2</t>
  </si>
  <si>
    <t>Antall av Etterarbeid til reelt prosjekt2</t>
  </si>
  <si>
    <t>Etterarbeid til reelt prosjekt22</t>
  </si>
  <si>
    <t>faglig</t>
  </si>
  <si>
    <t>korrekt</t>
  </si>
  <si>
    <t>nivå</t>
  </si>
  <si>
    <t>gjennomsnitt</t>
  </si>
  <si>
    <t xml:space="preserve">Skjemasvar 1 er direkte hentet fra google forms.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</si>
</sst>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7" x14ac:knownFonts="1">
    <font>
      <sz val="10"/>
      <color rgb="FF000000"/>
      <name val="Arial"/>
      <scheme val="minor"/>
    </font>
    <font>
      <sz val="10"/>
      <color theme="1"/>
      <name val="Arial"/>
      <scheme val="minor"/>
    </font>
    <font>
      <sz val="10"/>
      <color theme="1"/>
      <name val="Arial"/>
      <family val="2"/>
      <scheme val="minor"/>
    </font>
    <font>
      <sz val="10"/>
      <color rgb="FF000000"/>
      <name val="Arial"/>
      <family val="2"/>
      <scheme val="minor"/>
    </font>
    <font>
      <sz val="14"/>
      <color rgb="FF595959"/>
      <name val="Arial"/>
      <family val="2"/>
      <scheme val="minor"/>
    </font>
    <font>
      <sz val="8"/>
      <name val="Arial"/>
      <family val="2"/>
      <scheme val="minor"/>
    </font>
    <font>
      <b/>
      <sz val="14"/>
      <color rgb="FF000000"/>
      <name val="Arial"/>
      <family val="2"/>
      <scheme val="minor"/>
    </font>
  </fonts>
  <fills count="7">
    <fill>
      <patternFill patternType="none"/>
    </fill>
    <fill>
      <patternFill patternType="gray125"/>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79998168889431442"/>
        <bgColor theme="4" tint="0.79998168889431442"/>
      </patternFill>
    </fill>
    <fill>
      <patternFill patternType="solid">
        <fgColor theme="4" tint="0.59999389629810485"/>
        <bgColor theme="4" tint="0.59999389629810485"/>
      </patternFill>
    </fill>
  </fills>
  <borders count="24">
    <border>
      <left/>
      <right/>
      <top/>
      <bottom/>
      <diagonal/>
    </border>
    <border>
      <left style="thin">
        <color rgb="FFABABAB"/>
      </left>
      <right/>
      <top style="thin">
        <color rgb="FFABABAB"/>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ABABAB"/>
      </left>
      <right/>
      <top/>
      <bottom/>
      <diagonal/>
    </border>
    <border>
      <left style="thin">
        <color rgb="FFABABAB"/>
      </left>
      <right/>
      <top/>
      <bottom style="thin">
        <color rgb="FFABABAB"/>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theme="0"/>
      </left>
      <right/>
      <top style="thin">
        <color theme="0"/>
      </top>
      <bottom style="thin">
        <color theme="0"/>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right/>
      <top style="thin">
        <color rgb="FFABABAB"/>
      </top>
      <bottom/>
      <diagonal/>
    </border>
    <border>
      <left/>
      <right style="thin">
        <color rgb="FFABABAB"/>
      </right>
      <top style="thin">
        <color rgb="FFABABAB"/>
      </top>
      <bottom/>
      <diagonal/>
    </border>
    <border>
      <left/>
      <right style="thin">
        <color rgb="FFABABAB"/>
      </right>
      <top/>
      <bottom/>
      <diagonal/>
    </border>
    <border>
      <left/>
      <right/>
      <top/>
      <bottom style="thin">
        <color rgb="FFABABAB"/>
      </bottom>
      <diagonal/>
    </border>
    <border>
      <left/>
      <right style="thin">
        <color rgb="FFABABAB"/>
      </right>
      <top/>
      <bottom style="thin">
        <color rgb="FFABABAB"/>
      </bottom>
      <diagonal/>
    </border>
  </borders>
  <cellStyleXfs count="1">
    <xf numFmtId="0" fontId="0" fillId="0" borderId="0"/>
  </cellStyleXfs>
  <cellXfs count="64">
    <xf numFmtId="0" fontId="0" fillId="0" borderId="0" xfId="0"/>
    <xf numFmtId="0" fontId="1" fillId="0" borderId="0" xfId="0" applyFont="1" applyAlignment="1">
      <alignment vertical="center"/>
    </xf>
    <xf numFmtId="0" fontId="1" fillId="0" borderId="0" xfId="0" applyFont="1" applyAlignment="1">
      <alignment horizontal="center" vertical="center"/>
    </xf>
    <xf numFmtId="164" fontId="1" fillId="0" borderId="0" xfId="0" applyNumberFormat="1" applyFont="1" applyAlignment="1">
      <alignment horizontal="left" vertical="center"/>
    </xf>
    <xf numFmtId="0" fontId="2" fillId="0" borderId="0" xfId="0" applyFont="1" applyAlignment="1">
      <alignment vertical="center"/>
    </xf>
    <xf numFmtId="0" fontId="1" fillId="0" borderId="0" xfId="0" applyFont="1" applyAlignment="1">
      <alignment horizontal="center" vertical="center" wrapText="1"/>
    </xf>
    <xf numFmtId="0" fontId="0" fillId="0" borderId="0" xfId="0" applyAlignment="1">
      <alignment horizontal="center" vertical="center"/>
    </xf>
    <xf numFmtId="0" fontId="0" fillId="0" borderId="0" xfId="0" applyAlignment="1">
      <alignment wrapText="1"/>
    </xf>
    <xf numFmtId="0" fontId="0" fillId="0" borderId="0" xfId="0" applyAlignment="1">
      <alignment horizontal="center" vertical="center" wrapText="1"/>
    </xf>
    <xf numFmtId="0" fontId="3" fillId="0" borderId="0" xfId="0" applyFont="1" applyAlignment="1">
      <alignment horizontal="center" vertical="center" wrapText="1"/>
    </xf>
    <xf numFmtId="14" fontId="0" fillId="0" borderId="0" xfId="0" applyNumberFormat="1" applyAlignment="1">
      <alignment horizontal="center" vertical="center"/>
    </xf>
    <xf numFmtId="0" fontId="0" fillId="0" borderId="1" xfId="0" applyBorder="1"/>
    <xf numFmtId="0" fontId="0" fillId="0" borderId="1" xfId="0" pivotButton="1" applyBorder="1"/>
    <xf numFmtId="0" fontId="0" fillId="0" borderId="0" xfId="0" pivotButton="1"/>
    <xf numFmtId="0" fontId="0" fillId="0" borderId="0" xfId="0" applyAlignment="1">
      <alignment horizontal="left"/>
    </xf>
    <xf numFmtId="0" fontId="4" fillId="0" borderId="0" xfId="0" applyFont="1" applyAlignment="1">
      <alignment horizontal="center" vertical="center" readingOrder="1"/>
    </xf>
    <xf numFmtId="0" fontId="4" fillId="0" borderId="0" xfId="0" applyFont="1" applyAlignment="1">
      <alignment vertical="center" wrapText="1" readingOrder="1"/>
    </xf>
    <xf numFmtId="0" fontId="0" fillId="0" borderId="6" xfId="0" applyBorder="1"/>
    <xf numFmtId="0" fontId="0" fillId="0" borderId="7" xfId="0" applyBorder="1"/>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10" xfId="0" applyBorder="1" applyAlignment="1">
      <alignment horizontal="center" vertical="center" wrapText="1"/>
    </xf>
    <xf numFmtId="0" fontId="3" fillId="0" borderId="11" xfId="0" applyFont="1" applyBorder="1" applyAlignment="1">
      <alignment horizontal="center" vertical="center"/>
    </xf>
    <xf numFmtId="0" fontId="0" fillId="0" borderId="12" xfId="0" applyBorder="1" applyAlignment="1">
      <alignment horizontal="center" vertical="center"/>
    </xf>
    <xf numFmtId="0" fontId="3" fillId="0" borderId="13" xfId="0" applyFont="1"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13" xfId="0" applyBorder="1"/>
    <xf numFmtId="0" fontId="0" fillId="0" borderId="14" xfId="0" applyBorder="1"/>
    <xf numFmtId="0" fontId="0" fillId="0" borderId="15" xfId="0" applyBorder="1"/>
    <xf numFmtId="0" fontId="0" fillId="0" borderId="2" xfId="0" applyBorder="1" applyAlignment="1">
      <alignment horizontal="center" vertical="center"/>
    </xf>
    <xf numFmtId="0" fontId="3" fillId="0" borderId="2" xfId="0" applyFont="1" applyBorder="1"/>
    <xf numFmtId="0" fontId="0" fillId="0" borderId="8" xfId="0" applyBorder="1"/>
    <xf numFmtId="0" fontId="0" fillId="0" borderId="10" xfId="0" applyBorder="1"/>
    <xf numFmtId="0" fontId="0" fillId="0" borderId="11" xfId="0" applyBorder="1"/>
    <xf numFmtId="0" fontId="0" fillId="0" borderId="12" xfId="0" applyBorder="1"/>
    <xf numFmtId="0" fontId="0" fillId="0" borderId="9" xfId="0" applyBorder="1"/>
    <xf numFmtId="0" fontId="0" fillId="0" borderId="2" xfId="0" applyBorder="1"/>
    <xf numFmtId="0" fontId="0" fillId="0" borderId="0" xfId="0" applyAlignment="1">
      <alignment horizontal="left" vertical="center"/>
    </xf>
    <xf numFmtId="0" fontId="0" fillId="0" borderId="0" xfId="0" applyAlignment="1">
      <alignment horizontal="left" vertical="center" wrapText="1"/>
    </xf>
    <xf numFmtId="0" fontId="1" fillId="6" borderId="16" xfId="0" applyFont="1" applyFill="1" applyBorder="1" applyAlignment="1">
      <alignment horizontal="center" vertical="center"/>
    </xf>
    <xf numFmtId="0" fontId="1" fillId="5" borderId="16" xfId="0" applyFont="1" applyFill="1" applyBorder="1" applyAlignment="1">
      <alignment horizontal="center" vertical="center"/>
    </xf>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22" xfId="0" applyBorder="1"/>
    <xf numFmtId="0" fontId="0" fillId="0" borderId="23" xfId="0" applyBorder="1"/>
    <xf numFmtId="0" fontId="4" fillId="2" borderId="3" xfId="0" applyFont="1" applyFill="1" applyBorder="1" applyAlignment="1">
      <alignment horizontal="center" vertical="center" readingOrder="1"/>
    </xf>
    <xf numFmtId="0" fontId="4" fillId="2" borderId="4" xfId="0" applyFont="1" applyFill="1" applyBorder="1" applyAlignment="1">
      <alignment horizontal="center" vertical="center" readingOrder="1"/>
    </xf>
    <xf numFmtId="0" fontId="4" fillId="2" borderId="5" xfId="0" applyFont="1" applyFill="1" applyBorder="1" applyAlignment="1">
      <alignment horizontal="center" vertical="center" readingOrder="1"/>
    </xf>
    <xf numFmtId="0" fontId="4" fillId="3" borderId="3" xfId="0" applyFont="1" applyFill="1" applyBorder="1" applyAlignment="1">
      <alignment horizontal="center" vertical="center" wrapText="1" readingOrder="1"/>
    </xf>
    <xf numFmtId="0" fontId="4" fillId="3" borderId="4" xfId="0" applyFont="1" applyFill="1" applyBorder="1" applyAlignment="1">
      <alignment horizontal="center" vertical="center" wrapText="1" readingOrder="1"/>
    </xf>
    <xf numFmtId="0" fontId="4" fillId="3" borderId="5" xfId="0" applyFont="1" applyFill="1" applyBorder="1" applyAlignment="1">
      <alignment horizontal="center" vertical="center" wrapText="1" readingOrder="1"/>
    </xf>
    <xf numFmtId="0" fontId="4" fillId="4" borderId="3" xfId="0" applyFont="1" applyFill="1" applyBorder="1" applyAlignment="1">
      <alignment horizontal="center" vertical="center" wrapText="1" readingOrder="1"/>
    </xf>
    <xf numFmtId="0" fontId="4" fillId="4" borderId="4" xfId="0" applyFont="1" applyFill="1" applyBorder="1" applyAlignment="1">
      <alignment horizontal="center" vertical="center" wrapText="1" readingOrder="1"/>
    </xf>
    <xf numFmtId="0" fontId="4" fillId="4" borderId="5" xfId="0" applyFont="1" applyFill="1" applyBorder="1" applyAlignment="1">
      <alignment horizontal="center" vertical="center" wrapText="1" readingOrder="1"/>
    </xf>
    <xf numFmtId="0" fontId="4" fillId="0" borderId="0" xfId="0" applyFont="1" applyAlignment="1">
      <alignment horizontal="center" vertical="center" wrapText="1" readingOrder="1"/>
    </xf>
    <xf numFmtId="0" fontId="4" fillId="0" borderId="3" xfId="0" applyFont="1" applyBorder="1" applyAlignment="1">
      <alignment horizontal="center" vertical="center" wrapText="1" readingOrder="1"/>
    </xf>
    <xf numFmtId="0" fontId="4" fillId="0" borderId="4" xfId="0" applyFont="1" applyBorder="1" applyAlignment="1">
      <alignment horizontal="center" vertical="center" wrapText="1" readingOrder="1"/>
    </xf>
    <xf numFmtId="0" fontId="4" fillId="0" borderId="5" xfId="0" applyFont="1" applyBorder="1" applyAlignment="1">
      <alignment horizontal="center" vertical="center" wrapText="1" readingOrder="1"/>
    </xf>
    <xf numFmtId="0" fontId="6" fillId="3" borderId="3" xfId="0" applyFont="1" applyFill="1" applyBorder="1" applyAlignment="1">
      <alignment horizontal="center" wrapText="1"/>
    </xf>
    <xf numFmtId="0" fontId="6" fillId="3" borderId="5" xfId="0" applyFont="1" applyFill="1" applyBorder="1" applyAlignment="1">
      <alignment horizontal="center" wrapText="1"/>
    </xf>
  </cellXfs>
  <cellStyles count="1">
    <cellStyle name="Normal" xfId="0" builtinId="0"/>
  </cellStyles>
  <dxfs count="49">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left" vertical="center" textRotation="0" wrapText="1" indent="0" justifyLastLine="0" shrinkToFit="0" readingOrder="0"/>
    </dxf>
    <dxf>
      <alignment horizontal="left" vertical="center" textRotation="0" indent="0" justifyLastLine="0" shrinkToFit="0" readingOrder="0"/>
    </dxf>
    <dxf>
      <alignment horizontal="left" vertical="center" textRotation="0" indent="0" justifyLastLine="0" shrinkToFit="0" readingOrder="0"/>
    </dxf>
    <dxf>
      <alignment horizontal="left" vertical="center" textRotation="0" indent="0" justifyLastLine="0" shrinkToFit="0" readingOrder="0"/>
    </dxf>
    <dxf>
      <alignment horizontal="left" vertical="center" textRotation="0" indent="0" justifyLastLine="0" shrinkToFit="0" readingOrder="0"/>
    </dxf>
    <dxf>
      <alignment horizontal="left" vertical="center" textRotation="0" wrapText="1" indent="0" justifyLastLine="0" shrinkToFit="0" readingOrder="0"/>
    </dxf>
    <dxf>
      <alignment horizontal="left" vertical="center" textRotation="0" indent="0" justifyLastLine="0" shrinkToFit="0" readingOrder="0"/>
    </dxf>
    <dxf>
      <alignment horizontal="left" vertical="center" textRotation="0" indent="0" justifyLastLine="0" shrinkToFit="0" readingOrder="0"/>
    </dxf>
    <dxf>
      <alignment horizontal="left" vertical="center" textRotation="0" indent="0" justifyLastLine="0" shrinkToFit="0" readingOrder="0"/>
    </dxf>
    <dxf>
      <alignment horizontal="left" vertical="center" textRotation="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5B3F86"/>
        </left>
        <right style="thin">
          <color rgb="FF5B3F86"/>
        </right>
        <top style="thin">
          <color rgb="FF5B3F86"/>
        </top>
        <bottom style="thin">
          <color rgb="FF5B3F86"/>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3">
    <tableStyle name="Skjemasvar 1-style" pivot="0" count="4" xr9:uid="{00000000-0011-0000-FFFF-FFFF00000000}">
      <tableStyleElement type="wholeTable" size="0" dxfId="48"/>
      <tableStyleElement type="headerRow" dxfId="47"/>
      <tableStyleElement type="firstRowStripe" dxfId="46"/>
      <tableStyleElement type="secondRowStripe" dxfId="45"/>
    </tableStyle>
    <tableStyle name="Diagram1-style" pivot="0" count="4" xr9:uid="{00000000-0011-0000-FFFF-FFFF01000000}">
      <tableStyleElement type="wholeTable" size="0" dxfId="44"/>
      <tableStyleElement type="headerRow" dxfId="43"/>
      <tableStyleElement type="firstRowStripe" dxfId="42"/>
      <tableStyleElement type="secondRowStripe" dxfId="41"/>
    </tableStyle>
    <tableStyle name="Diagram1-style 2" pivot="0" count="4" xr9:uid="{00000000-0011-0000-FFFF-FFFF02000000}">
      <tableStyleElement type="wholeTable" size="0" dxfId="40"/>
      <tableStyleElement type="headerRow" dxfId="39"/>
      <tableStyleElement type="firstRowStripe" dxfId="38"/>
      <tableStyleElement type="secondRowStripe" dxfId="37"/>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b-NO"/>
  <c:roundedCorners val="0"/>
  <mc:AlternateContent xmlns:mc="http://schemas.openxmlformats.org/markup-compatibility/2006">
    <mc:Choice xmlns:c14="http://schemas.microsoft.com/office/drawing/2007/8/2/chart" Requires="c14">
      <c14:style val="102"/>
    </mc:Choice>
    <mc:Fallback>
      <c:style val="2"/>
    </mc:Fallback>
  </mc:AlternateContent>
  <c:pivotSource>
    <c:name>[Faglig vurdering av fraviksdokumentasjon  (Svar).xlsx]Etterarbeid 2!Pivottabell151</c:name>
    <c:fmtId val="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nb-NO"/>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nb-NO"/>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nb-NO"/>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nb-NO"/>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nb-NO"/>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nb-NO"/>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nb-NO"/>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nb-NO"/>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nb-NO"/>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nb-NO"/>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nb-NO"/>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nb-NO"/>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nb-NO"/>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nb-NO"/>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nb-NO"/>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nb-NO"/>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nb-NO"/>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nb-NO"/>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3">
              <a:lumMod val="75000"/>
            </a:schemeClr>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bg1"/>
                  </a:solidFill>
                  <a:latin typeface="+mn-lt"/>
                  <a:ea typeface="+mn-ea"/>
                  <a:cs typeface="+mn-cs"/>
                </a:defRPr>
              </a:pPr>
              <a:endParaRPr lang="nb-NO"/>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2">
              <a:lumMod val="75000"/>
            </a:schemeClr>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bg1"/>
                  </a:solidFill>
                  <a:latin typeface="+mn-lt"/>
                  <a:ea typeface="+mn-ea"/>
                  <a:cs typeface="+mn-cs"/>
                </a:defRPr>
              </a:pPr>
              <a:endParaRPr lang="nb-NO"/>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lumMod val="75000"/>
            </a:schemeClr>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bg1"/>
                  </a:solidFill>
                  <a:latin typeface="+mn-lt"/>
                  <a:ea typeface="+mn-ea"/>
                  <a:cs typeface="+mn-cs"/>
                </a:defRPr>
              </a:pPr>
              <a:endParaRPr lang="nb-NO"/>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nb-NO"/>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nb-NO"/>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nb-NO"/>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nb-N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nb-N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nb-N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pivotFmt>
    </c:pivotFmts>
    <c:plotArea>
      <c:layout/>
      <c:barChart>
        <c:barDir val="col"/>
        <c:grouping val="stacked"/>
        <c:varyColors val="0"/>
        <c:ser>
          <c:idx val="0"/>
          <c:order val="0"/>
          <c:tx>
            <c:strRef>
              <c:f>'Etterarbeid 2'!$B$3:$B$4</c:f>
              <c:strCache>
                <c:ptCount val="1"/>
                <c:pt idx="0">
                  <c:v>AI m/Eks</c:v>
                </c:pt>
              </c:strCache>
            </c:strRef>
          </c:tx>
          <c:spPr>
            <a:solidFill>
              <a:schemeClr val="accent3">
                <a:lumMod val="75000"/>
              </a:scheme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bg1"/>
                    </a:solidFill>
                    <a:latin typeface="+mn-lt"/>
                    <a:ea typeface="+mn-ea"/>
                    <a:cs typeface="+mn-cs"/>
                  </a:defRPr>
                </a:pPr>
                <a:endParaRPr lang="nb-N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'Etterarbeid 2'!$A$5:$A$9</c:f>
              <c:strCache>
                <c:ptCount val="4"/>
                <c:pt idx="0">
                  <c:v>Under 15 minutter</c:v>
                </c:pt>
                <c:pt idx="1">
                  <c:v>15–30 minutter</c:v>
                </c:pt>
                <c:pt idx="2">
                  <c:v>30–60 minutter</c:v>
                </c:pt>
                <c:pt idx="3">
                  <c:v>Mer enn 60 minutter</c:v>
                </c:pt>
              </c:strCache>
            </c:strRef>
          </c:cat>
          <c:val>
            <c:numRef>
              <c:f>'Etterarbeid 2'!$B$5:$B$9</c:f>
              <c:numCache>
                <c:formatCode>General</c:formatCode>
                <c:ptCount val="4"/>
                <c:pt idx="0">
                  <c:v>1</c:v>
                </c:pt>
                <c:pt idx="1">
                  <c:v>2</c:v>
                </c:pt>
                <c:pt idx="2">
                  <c:v>2</c:v>
                </c:pt>
                <c:pt idx="3">
                  <c:v>1</c:v>
                </c:pt>
              </c:numCache>
            </c:numRef>
          </c:val>
          <c:extLst>
            <c:ext xmlns:c16="http://schemas.microsoft.com/office/drawing/2014/chart" uri="{C3380CC4-5D6E-409C-BE32-E72D297353CC}">
              <c16:uniqueId val="{00000000-DEBE-4666-AB31-CA170773A0F7}"/>
            </c:ext>
          </c:extLst>
        </c:ser>
        <c:ser>
          <c:idx val="1"/>
          <c:order val="1"/>
          <c:tx>
            <c:strRef>
              <c:f>'Etterarbeid 2'!$C$3:$C$4</c:f>
              <c:strCache>
                <c:ptCount val="1"/>
                <c:pt idx="0">
                  <c:v>AI u/Eks</c:v>
                </c:pt>
              </c:strCache>
            </c:strRef>
          </c:tx>
          <c:spPr>
            <a:solidFill>
              <a:schemeClr val="accent2">
                <a:lumMod val="75000"/>
              </a:scheme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bg1"/>
                    </a:solidFill>
                    <a:latin typeface="+mn-lt"/>
                    <a:ea typeface="+mn-ea"/>
                    <a:cs typeface="+mn-cs"/>
                  </a:defRPr>
                </a:pPr>
                <a:endParaRPr lang="nb-N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'Etterarbeid 2'!$A$5:$A$9</c:f>
              <c:strCache>
                <c:ptCount val="4"/>
                <c:pt idx="0">
                  <c:v>Under 15 minutter</c:v>
                </c:pt>
                <c:pt idx="1">
                  <c:v>15–30 minutter</c:v>
                </c:pt>
                <c:pt idx="2">
                  <c:v>30–60 minutter</c:v>
                </c:pt>
                <c:pt idx="3">
                  <c:v>Mer enn 60 minutter</c:v>
                </c:pt>
              </c:strCache>
            </c:strRef>
          </c:cat>
          <c:val>
            <c:numRef>
              <c:f>'Etterarbeid 2'!$C$5:$C$9</c:f>
              <c:numCache>
                <c:formatCode>General</c:formatCode>
                <c:ptCount val="4"/>
                <c:pt idx="0">
                  <c:v>1</c:v>
                </c:pt>
                <c:pt idx="1">
                  <c:v>2</c:v>
                </c:pt>
                <c:pt idx="2">
                  <c:v>2</c:v>
                </c:pt>
                <c:pt idx="3">
                  <c:v>1</c:v>
                </c:pt>
              </c:numCache>
            </c:numRef>
          </c:val>
          <c:extLst>
            <c:ext xmlns:c16="http://schemas.microsoft.com/office/drawing/2014/chart" uri="{C3380CC4-5D6E-409C-BE32-E72D297353CC}">
              <c16:uniqueId val="{00000002-14A6-48F0-A56F-41DD7300A7CA}"/>
            </c:ext>
          </c:extLst>
        </c:ser>
        <c:ser>
          <c:idx val="2"/>
          <c:order val="2"/>
          <c:tx>
            <c:strRef>
              <c:f>'Etterarbeid 2'!$D$3:$D$4</c:f>
              <c:strCache>
                <c:ptCount val="1"/>
                <c:pt idx="0">
                  <c:v>Ekspert</c:v>
                </c:pt>
              </c:strCache>
            </c:strRef>
          </c:tx>
          <c:spPr>
            <a:solidFill>
              <a:schemeClr val="accent1">
                <a:lumMod val="75000"/>
              </a:scheme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bg1"/>
                    </a:solidFill>
                    <a:latin typeface="+mn-lt"/>
                    <a:ea typeface="+mn-ea"/>
                    <a:cs typeface="+mn-cs"/>
                  </a:defRPr>
                </a:pPr>
                <a:endParaRPr lang="nb-NO"/>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'Etterarbeid 2'!$A$5:$A$9</c:f>
              <c:strCache>
                <c:ptCount val="4"/>
                <c:pt idx="0">
                  <c:v>Under 15 minutter</c:v>
                </c:pt>
                <c:pt idx="1">
                  <c:v>15–30 minutter</c:v>
                </c:pt>
                <c:pt idx="2">
                  <c:v>30–60 minutter</c:v>
                </c:pt>
                <c:pt idx="3">
                  <c:v>Mer enn 60 minutter</c:v>
                </c:pt>
              </c:strCache>
            </c:strRef>
          </c:cat>
          <c:val>
            <c:numRef>
              <c:f>'Etterarbeid 2'!$D$5:$D$9</c:f>
              <c:numCache>
                <c:formatCode>General</c:formatCode>
                <c:ptCount val="4"/>
                <c:pt idx="0">
                  <c:v>3</c:v>
                </c:pt>
                <c:pt idx="2">
                  <c:v>2</c:v>
                </c:pt>
                <c:pt idx="3">
                  <c:v>1</c:v>
                </c:pt>
              </c:numCache>
            </c:numRef>
          </c:val>
          <c:extLst>
            <c:ext xmlns:c16="http://schemas.microsoft.com/office/drawing/2014/chart" uri="{C3380CC4-5D6E-409C-BE32-E72D297353CC}">
              <c16:uniqueId val="{00000003-14A6-48F0-A56F-41DD7300A7CA}"/>
            </c:ext>
          </c:extLst>
        </c:ser>
        <c:dLbls>
          <c:showLegendKey val="0"/>
          <c:showVal val="1"/>
          <c:showCatName val="0"/>
          <c:showSerName val="0"/>
          <c:showPercent val="0"/>
          <c:showBubbleSize val="0"/>
        </c:dLbls>
        <c:gapWidth val="219"/>
        <c:overlap val="100"/>
        <c:axId val="1422623128"/>
        <c:axId val="1422620248"/>
      </c:barChart>
      <c:catAx>
        <c:axId val="1422623128"/>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nb-NO"/>
          </a:p>
        </c:txPr>
        <c:crossAx val="1422620248"/>
        <c:crosses val="autoZero"/>
        <c:auto val="1"/>
        <c:lblAlgn val="ctr"/>
        <c:lblOffset val="100"/>
        <c:noMultiLvlLbl val="0"/>
      </c:catAx>
      <c:valAx>
        <c:axId val="1422620248"/>
        <c:scaling>
          <c:orientation val="minMax"/>
        </c:scaling>
        <c:delete val="0"/>
        <c:axPos val="l"/>
        <c:majorGridlines>
          <c:spPr>
            <a:ln w="9525" cap="flat" cmpd="sng" algn="ctr">
              <a:solidFill>
                <a:schemeClr val="bg2">
                  <a:lumMod val="65000"/>
                </a:schemeClr>
              </a:solidFill>
              <a:round/>
            </a:ln>
            <a:effectLst/>
          </c:spPr>
        </c:majorGridlines>
        <c:numFmt formatCode="General" sourceLinked="1"/>
        <c:majorTickMark val="out"/>
        <c:minorTickMark val="none"/>
        <c:tickLblPos val="nextTo"/>
        <c:spPr>
          <a:noFill/>
          <a:ln>
            <a:solidFill>
              <a:schemeClr val="tx1"/>
            </a:solidFill>
          </a:ln>
          <a:effectLst/>
        </c:spPr>
        <c:txPr>
          <a:bodyPr rot="0" spcFirstLastPara="1" vertOverflow="ellipsis" wrap="square" anchor="ctr" anchorCtr="0"/>
          <a:lstStyle/>
          <a:p>
            <a:pPr>
              <a:defRPr sz="1400" b="1" i="0" u="none" strike="noStrike" kern="1200" baseline="0">
                <a:solidFill>
                  <a:schemeClr val="tx1"/>
                </a:solidFill>
                <a:latin typeface="+mn-lt"/>
                <a:ea typeface="+mn-ea"/>
                <a:cs typeface="+mn-cs"/>
              </a:defRPr>
            </a:pPr>
            <a:endParaRPr lang="nb-NO"/>
          </a:p>
        </c:txPr>
        <c:crossAx val="1422623128"/>
        <c:crosses val="autoZero"/>
        <c:crossBetween val="between"/>
        <c:majorUnit val="1"/>
      </c:valAx>
      <c:spPr>
        <a:solidFill>
          <a:schemeClr val="bg2">
            <a:lumMod val="95000"/>
          </a:schemeClr>
        </a:solidFill>
        <a:ln>
          <a:noFill/>
        </a:ln>
        <a:effectLst/>
      </c:spPr>
    </c:plotArea>
    <c:legend>
      <c:legendPos val="r"/>
      <c:overlay val="0"/>
      <c:spPr>
        <a:noFill/>
        <a:ln>
          <a:solidFill>
            <a:schemeClr val="bg2">
              <a:lumMod val="95000"/>
            </a:schemeClr>
          </a:solidFill>
        </a:ln>
        <a:effectLst/>
      </c:spPr>
      <c:txPr>
        <a:bodyPr rot="0" spcFirstLastPara="1" vertOverflow="ellipsis" vert="horz" wrap="square" anchor="ctr" anchorCtr="1"/>
        <a:lstStyle/>
        <a:p>
          <a:pPr>
            <a:defRPr sz="1500" b="0" i="0" u="none" strike="noStrike" kern="1200" baseline="0">
              <a:solidFill>
                <a:schemeClr val="tx1"/>
              </a:solidFill>
              <a:latin typeface="+mn-lt"/>
              <a:ea typeface="+mn-ea"/>
              <a:cs typeface="+mn-cs"/>
            </a:defRPr>
          </a:pPr>
          <a:endParaRPr lang="nb-N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12700" cap="flat" cmpd="sng" algn="ctr">
      <a:solidFill>
        <a:schemeClr val="bg2">
          <a:lumMod val="95000"/>
        </a:schemeClr>
      </a:solidFill>
      <a:prstDash val="solid"/>
      <a:miter lim="800000"/>
    </a:ln>
    <a:effectLst/>
  </c:spPr>
  <c:txPr>
    <a:bodyPr/>
    <a:lstStyle/>
    <a:p>
      <a:pPr>
        <a:defRPr>
          <a:solidFill>
            <a:schemeClr val="lt1"/>
          </a:solidFill>
          <a:latin typeface="+mn-lt"/>
          <a:ea typeface="+mn-ea"/>
          <a:cs typeface="+mn-cs"/>
        </a:defRPr>
      </a:pPr>
      <a:endParaRPr lang="nb-NO"/>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b-NO"/>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Faglig!$C$23</c:f>
              <c:strCache>
                <c:ptCount val="1"/>
                <c:pt idx="0">
                  <c:v>Faglig korrekt og forankret i henhold til TEK17, VTEK17 og NS 3901</c:v>
                </c:pt>
              </c:strCache>
            </c:strRef>
          </c:tx>
          <c:spPr>
            <a:solidFill>
              <a:schemeClr val="accent1">
                <a:lumMod val="75000"/>
              </a:schemeClr>
            </a:solidFill>
            <a:ln>
              <a:solidFill>
                <a:schemeClr val="tx1"/>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nb-N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Faglig!$A$24:$A$29</c:f>
              <c:strCache>
                <c:ptCount val="6"/>
                <c:pt idx="0">
                  <c:v>R1</c:v>
                </c:pt>
                <c:pt idx="1">
                  <c:v>R2</c:v>
                </c:pt>
                <c:pt idx="2">
                  <c:v>R3</c:v>
                </c:pt>
                <c:pt idx="3">
                  <c:v>R4</c:v>
                </c:pt>
                <c:pt idx="4">
                  <c:v>R5</c:v>
                </c:pt>
                <c:pt idx="5">
                  <c:v>R6</c:v>
                </c:pt>
              </c:strCache>
            </c:strRef>
          </c:cat>
          <c:val>
            <c:numRef>
              <c:f>Faglig!$C$24:$C$29</c:f>
              <c:numCache>
                <c:formatCode>General</c:formatCode>
                <c:ptCount val="6"/>
                <c:pt idx="0">
                  <c:v>3</c:v>
                </c:pt>
                <c:pt idx="1">
                  <c:v>2</c:v>
                </c:pt>
                <c:pt idx="2">
                  <c:v>3</c:v>
                </c:pt>
                <c:pt idx="3">
                  <c:v>5</c:v>
                </c:pt>
                <c:pt idx="4">
                  <c:v>4</c:v>
                </c:pt>
                <c:pt idx="5">
                  <c:v>4</c:v>
                </c:pt>
              </c:numCache>
            </c:numRef>
          </c:val>
          <c:extLst>
            <c:ext xmlns:c16="http://schemas.microsoft.com/office/drawing/2014/chart" uri="{C3380CC4-5D6E-409C-BE32-E72D297353CC}">
              <c16:uniqueId val="{00000000-BE50-49A3-838E-21C581698B1B}"/>
            </c:ext>
          </c:extLst>
        </c:ser>
        <c:dLbls>
          <c:dLblPos val="outEnd"/>
          <c:showLegendKey val="0"/>
          <c:showVal val="1"/>
          <c:showCatName val="0"/>
          <c:showSerName val="0"/>
          <c:showPercent val="0"/>
          <c:showBubbleSize val="0"/>
        </c:dLbls>
        <c:gapWidth val="219"/>
        <c:overlap val="-27"/>
        <c:axId val="66068271"/>
        <c:axId val="66069711"/>
      </c:barChart>
      <c:catAx>
        <c:axId val="66068271"/>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nb-NO"/>
          </a:p>
        </c:txPr>
        <c:crossAx val="66069711"/>
        <c:crosses val="autoZero"/>
        <c:auto val="1"/>
        <c:lblAlgn val="ctr"/>
        <c:lblOffset val="100"/>
        <c:noMultiLvlLbl val="0"/>
      </c:catAx>
      <c:valAx>
        <c:axId val="66069711"/>
        <c:scaling>
          <c:orientation val="minMax"/>
        </c:scaling>
        <c:delete val="1"/>
        <c:axPos val="l"/>
        <c:numFmt formatCode="General" sourceLinked="1"/>
        <c:majorTickMark val="out"/>
        <c:minorTickMark val="none"/>
        <c:tickLblPos val="nextTo"/>
        <c:crossAx val="66068271"/>
        <c:crosses val="autoZero"/>
        <c:crossBetween val="between"/>
      </c:valA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6350" cap="flat" cmpd="sng" algn="ctr">
          <a:solidFill>
            <a:schemeClr val="accent1"/>
          </a:solidFill>
          <a:prstDash val="solid"/>
          <a:miter lim="800000"/>
        </a:ln>
        <a:effectLst/>
      </c:spPr>
    </c:plotArea>
    <c:plotVisOnly val="1"/>
    <c:dispBlanksAs val="gap"/>
    <c:showDLblsOverMax val="0"/>
  </c:chart>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6350" cap="flat" cmpd="sng" algn="ctr">
      <a:solidFill>
        <a:schemeClr val="accent1"/>
      </a:solidFill>
      <a:prstDash val="solid"/>
      <a:miter lim="800000"/>
    </a:ln>
    <a:effectLst/>
  </c:spPr>
  <c:txPr>
    <a:bodyPr/>
    <a:lstStyle/>
    <a:p>
      <a:pPr>
        <a:defRPr>
          <a:solidFill>
            <a:schemeClr val="dk1"/>
          </a:solidFill>
          <a:latin typeface="+mn-lt"/>
          <a:ea typeface="+mn-ea"/>
          <a:cs typeface="+mn-cs"/>
        </a:defRPr>
      </a:pPr>
      <a:endParaRPr lang="nb-N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b-NO"/>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Faglig!$C$32</c:f>
              <c:strCache>
                <c:ptCount val="1"/>
                <c:pt idx="0">
                  <c:v>Faglig korrekt og forankret i henhold til TEK17, VTEK17 og NS 3901</c:v>
                </c:pt>
              </c:strCache>
            </c:strRef>
          </c:tx>
          <c:spPr>
            <a:solidFill>
              <a:schemeClr val="accent2">
                <a:lumMod val="75000"/>
              </a:scheme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b-N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Faglig!$A$33:$A$38</c:f>
              <c:strCache>
                <c:ptCount val="6"/>
                <c:pt idx="0">
                  <c:v>R1</c:v>
                </c:pt>
                <c:pt idx="1">
                  <c:v>R2</c:v>
                </c:pt>
                <c:pt idx="2">
                  <c:v>R3</c:v>
                </c:pt>
                <c:pt idx="3">
                  <c:v>R4</c:v>
                </c:pt>
                <c:pt idx="4">
                  <c:v>R5</c:v>
                </c:pt>
                <c:pt idx="5">
                  <c:v>R6</c:v>
                </c:pt>
              </c:strCache>
            </c:strRef>
          </c:cat>
          <c:val>
            <c:numRef>
              <c:f>Faglig!$C$33:$C$38</c:f>
              <c:numCache>
                <c:formatCode>General</c:formatCode>
                <c:ptCount val="6"/>
                <c:pt idx="0">
                  <c:v>3</c:v>
                </c:pt>
                <c:pt idx="1">
                  <c:v>2</c:v>
                </c:pt>
                <c:pt idx="2">
                  <c:v>2</c:v>
                </c:pt>
                <c:pt idx="3">
                  <c:v>4</c:v>
                </c:pt>
                <c:pt idx="4">
                  <c:v>4</c:v>
                </c:pt>
                <c:pt idx="5">
                  <c:v>2</c:v>
                </c:pt>
              </c:numCache>
            </c:numRef>
          </c:val>
          <c:extLst>
            <c:ext xmlns:c16="http://schemas.microsoft.com/office/drawing/2014/chart" uri="{C3380CC4-5D6E-409C-BE32-E72D297353CC}">
              <c16:uniqueId val="{00000000-B8AD-49AA-97D0-3BD2DED1FE3B}"/>
            </c:ext>
          </c:extLst>
        </c:ser>
        <c:dLbls>
          <c:dLblPos val="outEnd"/>
          <c:showLegendKey val="0"/>
          <c:showVal val="1"/>
          <c:showCatName val="0"/>
          <c:showSerName val="0"/>
          <c:showPercent val="0"/>
          <c:showBubbleSize val="0"/>
        </c:dLbls>
        <c:gapWidth val="219"/>
        <c:overlap val="-27"/>
        <c:axId val="22562895"/>
        <c:axId val="22567935"/>
      </c:barChart>
      <c:catAx>
        <c:axId val="22562895"/>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22567935"/>
        <c:crosses val="autoZero"/>
        <c:auto val="1"/>
        <c:lblAlgn val="ctr"/>
        <c:lblOffset val="100"/>
        <c:noMultiLvlLbl val="0"/>
      </c:catAx>
      <c:valAx>
        <c:axId val="22567935"/>
        <c:scaling>
          <c:orientation val="minMax"/>
        </c:scaling>
        <c:delete val="1"/>
        <c:axPos val="l"/>
        <c:numFmt formatCode="General" sourceLinked="1"/>
        <c:majorTickMark val="none"/>
        <c:minorTickMark val="none"/>
        <c:tickLblPos val="nextTo"/>
        <c:crossAx val="22562895"/>
        <c:crosses val="autoZero"/>
        <c:crossBetween val="between"/>
      </c:valA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6350" cap="flat" cmpd="sng" algn="ctr">
          <a:solidFill>
            <a:schemeClr val="accent2"/>
          </a:solidFill>
          <a:prstDash val="solid"/>
          <a:miter lim="800000"/>
        </a:ln>
        <a:effectLst/>
      </c:spPr>
    </c:plotArea>
    <c:plotVisOnly val="1"/>
    <c:dispBlanksAs val="gap"/>
    <c:showDLblsOverMax val="0"/>
  </c:chart>
  <c:spPr>
    <a:solidFill>
      <a:schemeClr val="accent2">
        <a:lumMod val="40000"/>
        <a:lumOff val="60000"/>
      </a:schemeClr>
    </a:solidFill>
    <a:ln w="9525" cap="flat" cmpd="sng" algn="ctr">
      <a:solidFill>
        <a:schemeClr val="tx1">
          <a:lumMod val="15000"/>
          <a:lumOff val="85000"/>
        </a:schemeClr>
      </a:solidFill>
      <a:round/>
    </a:ln>
    <a:effectLst/>
  </c:spPr>
  <c:txPr>
    <a:bodyPr/>
    <a:lstStyle/>
    <a:p>
      <a:pPr>
        <a:defRPr/>
      </a:pPr>
      <a:endParaRPr lang="nb-NO"/>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b-NO"/>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Faglig!$C$41</c:f>
              <c:strCache>
                <c:ptCount val="1"/>
                <c:pt idx="0">
                  <c:v>Faglig korrekt og forankret i henhold til TEK17, VTEK17 og NS 3901</c:v>
                </c:pt>
              </c:strCache>
            </c:strRef>
          </c:tx>
          <c:spPr>
            <a:solidFill>
              <a:schemeClr val="accent3">
                <a:lumMod val="75000"/>
              </a:scheme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b-N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Faglig!$A$42:$A$47</c:f>
              <c:strCache>
                <c:ptCount val="6"/>
                <c:pt idx="0">
                  <c:v>R1</c:v>
                </c:pt>
                <c:pt idx="1">
                  <c:v>R2</c:v>
                </c:pt>
                <c:pt idx="2">
                  <c:v>R3</c:v>
                </c:pt>
                <c:pt idx="3">
                  <c:v>R4</c:v>
                </c:pt>
                <c:pt idx="4">
                  <c:v>R5</c:v>
                </c:pt>
                <c:pt idx="5">
                  <c:v>R6</c:v>
                </c:pt>
              </c:strCache>
            </c:strRef>
          </c:cat>
          <c:val>
            <c:numRef>
              <c:f>Faglig!$C$42:$C$47</c:f>
              <c:numCache>
                <c:formatCode>General</c:formatCode>
                <c:ptCount val="6"/>
                <c:pt idx="0">
                  <c:v>1</c:v>
                </c:pt>
                <c:pt idx="1">
                  <c:v>2</c:v>
                </c:pt>
                <c:pt idx="2">
                  <c:v>3</c:v>
                </c:pt>
                <c:pt idx="3">
                  <c:v>3</c:v>
                </c:pt>
                <c:pt idx="4">
                  <c:v>4</c:v>
                </c:pt>
                <c:pt idx="5">
                  <c:v>2</c:v>
                </c:pt>
              </c:numCache>
            </c:numRef>
          </c:val>
          <c:extLst>
            <c:ext xmlns:c16="http://schemas.microsoft.com/office/drawing/2014/chart" uri="{C3380CC4-5D6E-409C-BE32-E72D297353CC}">
              <c16:uniqueId val="{00000000-6FAE-4F67-9B16-2CD44F938427}"/>
            </c:ext>
          </c:extLst>
        </c:ser>
        <c:dLbls>
          <c:dLblPos val="outEnd"/>
          <c:showLegendKey val="0"/>
          <c:showVal val="1"/>
          <c:showCatName val="0"/>
          <c:showSerName val="0"/>
          <c:showPercent val="0"/>
          <c:showBubbleSize val="0"/>
        </c:dLbls>
        <c:gapWidth val="219"/>
        <c:overlap val="-27"/>
        <c:axId val="664430272"/>
        <c:axId val="664428832"/>
      </c:barChart>
      <c:catAx>
        <c:axId val="664430272"/>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664428832"/>
        <c:crosses val="autoZero"/>
        <c:auto val="1"/>
        <c:lblAlgn val="ctr"/>
        <c:lblOffset val="100"/>
        <c:noMultiLvlLbl val="0"/>
      </c:catAx>
      <c:valAx>
        <c:axId val="664428832"/>
        <c:scaling>
          <c:orientation val="minMax"/>
        </c:scaling>
        <c:delete val="1"/>
        <c:axPos val="l"/>
        <c:numFmt formatCode="General" sourceLinked="1"/>
        <c:majorTickMark val="out"/>
        <c:minorTickMark val="none"/>
        <c:tickLblPos val="nextTo"/>
        <c:crossAx val="664430272"/>
        <c:crosses val="autoZero"/>
        <c:crossBetween val="between"/>
      </c:valAx>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6350" cap="flat" cmpd="sng" algn="ctr">
          <a:solidFill>
            <a:schemeClr val="accent3"/>
          </a:solidFill>
          <a:prstDash val="solid"/>
          <a:miter lim="800000"/>
        </a:ln>
        <a:effectLst/>
      </c:spPr>
    </c:plotArea>
    <c:plotVisOnly val="1"/>
    <c:dispBlanksAs val="gap"/>
    <c:showDLblsOverMax val="0"/>
  </c:chart>
  <c:spPr>
    <a:solidFill>
      <a:schemeClr val="accent3">
        <a:lumMod val="40000"/>
        <a:lumOff val="60000"/>
      </a:schemeClr>
    </a:solidFill>
    <a:ln w="9525" cap="flat" cmpd="sng" algn="ctr">
      <a:solidFill>
        <a:schemeClr val="tx1">
          <a:lumMod val="15000"/>
          <a:lumOff val="85000"/>
        </a:schemeClr>
      </a:solidFill>
      <a:round/>
    </a:ln>
    <a:effectLst/>
  </c:spPr>
  <c:txPr>
    <a:bodyPr/>
    <a:lstStyle/>
    <a:p>
      <a:pPr>
        <a:defRPr/>
      </a:pPr>
      <a:endParaRPr lang="nb-NO"/>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b-NO"/>
  <c:roundedCorners val="0"/>
  <mc:AlternateContent xmlns:mc="http://schemas.openxmlformats.org/markup-compatibility/2006">
    <mc:Choice xmlns:c14="http://schemas.microsoft.com/office/drawing/2007/8/2/chart" Requires="c14">
      <c14:style val="102"/>
    </mc:Choice>
    <mc:Fallback>
      <c:style val="2"/>
    </mc:Fallback>
  </mc:AlternateContent>
  <c:pivotSource>
    <c:name>[Faglig vurdering av fraviksdokumentasjon  (Svar).xlsx]Fagli SUM!Pivottabell124</c:name>
    <c:fmtId val="0"/>
  </c:pivotSource>
  <c:chart>
    <c:autoTitleDeleted val="1"/>
    <c:pivotFmts>
      <c:pivotFmt>
        <c:idx val="0"/>
        <c:spPr>
          <a:solidFill>
            <a:schemeClr val="accent4">
              <a:lumMod val="75000"/>
            </a:schemeClr>
          </a:solidFill>
          <a:ln>
            <a:solidFill>
              <a:schemeClr val="tx1"/>
            </a:solidFill>
          </a:ln>
          <a:effectLst/>
        </c:spPr>
        <c:marker>
          <c:symbol val="none"/>
        </c:marker>
        <c:dLbl>
          <c:idx val="0"/>
          <c:spPr>
            <a:noFill/>
            <a:ln>
              <a:noFill/>
            </a:ln>
            <a:effectLst/>
          </c:spPr>
          <c:txPr>
            <a:bodyPr rot="0" spcFirstLastPara="1" vertOverflow="ellipsis" vert="horz" wrap="square" anchor="ctr" anchorCtr="0"/>
            <a:lstStyle/>
            <a:p>
              <a:pPr algn="ctr">
                <a:defRPr lang="en-US" sz="900" b="1" i="0" u="none" strike="noStrike" kern="1200" baseline="0">
                  <a:solidFill>
                    <a:schemeClr val="dk1"/>
                  </a:solidFill>
                  <a:latin typeface="+mn-lt"/>
                  <a:ea typeface="+mn-ea"/>
                  <a:cs typeface="+mn-cs"/>
                </a:defRPr>
              </a:pPr>
              <a:endParaRPr lang="nb-N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dk1"/>
                  </a:solidFill>
                  <a:latin typeface="+mn-lt"/>
                  <a:ea typeface="+mn-ea"/>
                  <a:cs typeface="+mn-cs"/>
                </a:defRPr>
              </a:pPr>
              <a:endParaRPr lang="nb-N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lumMod val="75000"/>
            </a:schemeClr>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dk1"/>
                  </a:solidFill>
                  <a:latin typeface="+mn-lt"/>
                  <a:ea typeface="+mn-ea"/>
                  <a:cs typeface="+mn-cs"/>
                </a:defRPr>
              </a:pPr>
              <a:endParaRPr lang="nb-N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7030A0"/>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dk1"/>
                  </a:solidFill>
                  <a:latin typeface="+mn-lt"/>
                  <a:ea typeface="+mn-ea"/>
                  <a:cs typeface="+mn-cs"/>
                </a:defRPr>
              </a:pPr>
              <a:endParaRPr lang="nb-N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dk1"/>
                  </a:solidFill>
                  <a:latin typeface="+mn-lt"/>
                  <a:ea typeface="+mn-ea"/>
                  <a:cs typeface="+mn-cs"/>
                </a:defRPr>
              </a:pPr>
              <a:endParaRPr lang="nb-N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dk1"/>
                  </a:solidFill>
                  <a:latin typeface="+mn-lt"/>
                  <a:ea typeface="+mn-ea"/>
                  <a:cs typeface="+mn-cs"/>
                </a:defRPr>
              </a:pPr>
              <a:endParaRPr lang="nb-N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lumMod val="75000"/>
            </a:schemeClr>
          </a:solidFill>
          <a:ln>
            <a:solidFill>
              <a:schemeClr val="tx1"/>
            </a:solidFill>
          </a:ln>
          <a:effectLst/>
        </c:spPr>
        <c:marker>
          <c:symbol val="none"/>
        </c:marker>
        <c:dLbl>
          <c:idx val="0"/>
          <c:spPr>
            <a:noFill/>
            <a:ln>
              <a:noFill/>
            </a:ln>
            <a:effectLst/>
          </c:spPr>
          <c:txPr>
            <a:bodyPr rot="0" spcFirstLastPara="1" vertOverflow="ellipsis" vert="horz" wrap="square" anchor="ctr" anchorCtr="0"/>
            <a:lstStyle/>
            <a:p>
              <a:pPr algn="ctr">
                <a:defRPr lang="en-US" sz="1400" b="1" i="0" u="none" strike="noStrike" kern="1200" baseline="0">
                  <a:solidFill>
                    <a:schemeClr val="dk1"/>
                  </a:solidFill>
                  <a:latin typeface="+mn-lt"/>
                  <a:ea typeface="+mn-ea"/>
                  <a:cs typeface="+mn-cs"/>
                </a:defRPr>
              </a:pPr>
              <a:endParaRPr lang="nb-NO"/>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'Fagli SUM'!$B$3:$B$4</c:f>
              <c:strCache>
                <c:ptCount val="1"/>
                <c:pt idx="0">
                  <c:v>R1</c:v>
                </c:pt>
              </c:strCache>
            </c:strRef>
          </c:tx>
          <c:spPr>
            <a:solidFill>
              <a:schemeClr val="accent4">
                <a:lumMod val="75000"/>
              </a:schemeClr>
            </a:solidFill>
            <a:ln>
              <a:solidFill>
                <a:schemeClr val="tx1"/>
              </a:solidFill>
            </a:ln>
            <a:effectLst/>
          </c:spPr>
          <c:invertIfNegative val="0"/>
          <c:dLbls>
            <c:spPr>
              <a:noFill/>
              <a:ln>
                <a:noFill/>
              </a:ln>
              <a:effectLst/>
            </c:spPr>
            <c:txPr>
              <a:bodyPr rot="0" spcFirstLastPara="1" vertOverflow="ellipsis" vert="horz" wrap="square" anchor="ctr" anchorCtr="0"/>
              <a:lstStyle/>
              <a:p>
                <a:pPr algn="ctr">
                  <a:defRPr lang="en-US" sz="1400" b="1" i="0" u="none" strike="noStrike" kern="1200" baseline="0">
                    <a:solidFill>
                      <a:schemeClr val="dk1"/>
                    </a:solidFill>
                    <a:latin typeface="+mn-lt"/>
                    <a:ea typeface="+mn-ea"/>
                    <a:cs typeface="+mn-cs"/>
                  </a:defRPr>
                </a:pPr>
                <a:endParaRPr lang="nb-N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'Fagli SUM'!$A$5:$A$7</c:f>
              <c:strCache>
                <c:ptCount val="3"/>
                <c:pt idx="0">
                  <c:v>AI m/Eks</c:v>
                </c:pt>
                <c:pt idx="1">
                  <c:v>AI u/Eks</c:v>
                </c:pt>
                <c:pt idx="2">
                  <c:v>Ekspert</c:v>
                </c:pt>
              </c:strCache>
            </c:strRef>
          </c:cat>
          <c:val>
            <c:numRef>
              <c:f>'Fagli SUM'!$B$5:$B$7</c:f>
              <c:numCache>
                <c:formatCode>General</c:formatCode>
                <c:ptCount val="3"/>
                <c:pt idx="0">
                  <c:v>3</c:v>
                </c:pt>
                <c:pt idx="1">
                  <c:v>1</c:v>
                </c:pt>
                <c:pt idx="2">
                  <c:v>3</c:v>
                </c:pt>
              </c:numCache>
            </c:numRef>
          </c:val>
          <c:extLst>
            <c:ext xmlns:c16="http://schemas.microsoft.com/office/drawing/2014/chart" uri="{C3380CC4-5D6E-409C-BE32-E72D297353CC}">
              <c16:uniqueId val="{00000000-213A-499D-8F1B-07BF80E0B998}"/>
            </c:ext>
          </c:extLst>
        </c:ser>
        <c:ser>
          <c:idx val="1"/>
          <c:order val="1"/>
          <c:tx>
            <c:strRef>
              <c:f>'Fagli SUM'!$C$3:$C$4</c:f>
              <c:strCache>
                <c:ptCount val="1"/>
                <c:pt idx="0">
                  <c:v>R2</c:v>
                </c:pt>
              </c:strCache>
            </c:strRef>
          </c:tx>
          <c:spPr>
            <a:solidFill>
              <a:schemeClr val="accent2">
                <a:lumMod val="75000"/>
              </a:scheme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dk1"/>
                    </a:solidFill>
                    <a:latin typeface="+mn-lt"/>
                    <a:ea typeface="+mn-ea"/>
                    <a:cs typeface="+mn-cs"/>
                  </a:defRPr>
                </a:pPr>
                <a:endParaRPr lang="nb-N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'Fagli SUM'!$A$5:$A$7</c:f>
              <c:strCache>
                <c:ptCount val="3"/>
                <c:pt idx="0">
                  <c:v>AI m/Eks</c:v>
                </c:pt>
                <c:pt idx="1">
                  <c:v>AI u/Eks</c:v>
                </c:pt>
                <c:pt idx="2">
                  <c:v>Ekspert</c:v>
                </c:pt>
              </c:strCache>
            </c:strRef>
          </c:cat>
          <c:val>
            <c:numRef>
              <c:f>'Fagli SUM'!$C$5:$C$7</c:f>
              <c:numCache>
                <c:formatCode>General</c:formatCode>
                <c:ptCount val="3"/>
                <c:pt idx="0">
                  <c:v>2</c:v>
                </c:pt>
                <c:pt idx="1">
                  <c:v>2</c:v>
                </c:pt>
                <c:pt idx="2">
                  <c:v>2</c:v>
                </c:pt>
              </c:numCache>
            </c:numRef>
          </c:val>
          <c:extLst>
            <c:ext xmlns:c16="http://schemas.microsoft.com/office/drawing/2014/chart" uri="{C3380CC4-5D6E-409C-BE32-E72D297353CC}">
              <c16:uniqueId val="{00000002-1C91-4958-9C5E-5A61C4908C66}"/>
            </c:ext>
          </c:extLst>
        </c:ser>
        <c:ser>
          <c:idx val="2"/>
          <c:order val="2"/>
          <c:tx>
            <c:strRef>
              <c:f>'Fagli SUM'!$D$3:$D$4</c:f>
              <c:strCache>
                <c:ptCount val="1"/>
                <c:pt idx="0">
                  <c:v>R3</c:v>
                </c:pt>
              </c:strCache>
            </c:strRef>
          </c:tx>
          <c:spPr>
            <a:solidFill>
              <a:schemeClr val="accent3">
                <a:lumMod val="75000"/>
              </a:scheme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dk1"/>
                    </a:solidFill>
                    <a:latin typeface="+mn-lt"/>
                    <a:ea typeface="+mn-ea"/>
                    <a:cs typeface="+mn-cs"/>
                  </a:defRPr>
                </a:pPr>
                <a:endParaRPr lang="nb-N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'Fagli SUM'!$A$5:$A$7</c:f>
              <c:strCache>
                <c:ptCount val="3"/>
                <c:pt idx="0">
                  <c:v>AI m/Eks</c:v>
                </c:pt>
                <c:pt idx="1">
                  <c:v>AI u/Eks</c:v>
                </c:pt>
                <c:pt idx="2">
                  <c:v>Ekspert</c:v>
                </c:pt>
              </c:strCache>
            </c:strRef>
          </c:cat>
          <c:val>
            <c:numRef>
              <c:f>'Fagli SUM'!$D$5:$D$7</c:f>
              <c:numCache>
                <c:formatCode>General</c:formatCode>
                <c:ptCount val="3"/>
                <c:pt idx="0">
                  <c:v>2</c:v>
                </c:pt>
                <c:pt idx="1">
                  <c:v>3</c:v>
                </c:pt>
                <c:pt idx="2">
                  <c:v>3</c:v>
                </c:pt>
              </c:numCache>
            </c:numRef>
          </c:val>
          <c:extLst>
            <c:ext xmlns:c16="http://schemas.microsoft.com/office/drawing/2014/chart" uri="{C3380CC4-5D6E-409C-BE32-E72D297353CC}">
              <c16:uniqueId val="{00000003-1C91-4958-9C5E-5A61C4908C66}"/>
            </c:ext>
          </c:extLst>
        </c:ser>
        <c:ser>
          <c:idx val="3"/>
          <c:order val="3"/>
          <c:tx>
            <c:strRef>
              <c:f>'Fagli SUM'!$E$3:$E$4</c:f>
              <c:strCache>
                <c:ptCount val="1"/>
                <c:pt idx="0">
                  <c:v>R4</c:v>
                </c:pt>
              </c:strCache>
            </c:strRef>
          </c:tx>
          <c:spPr>
            <a:solidFill>
              <a:srgbClr val="7030A0"/>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dk1"/>
                    </a:solidFill>
                    <a:latin typeface="+mn-lt"/>
                    <a:ea typeface="+mn-ea"/>
                    <a:cs typeface="+mn-cs"/>
                  </a:defRPr>
                </a:pPr>
                <a:endParaRPr lang="nb-N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'Fagli SUM'!$A$5:$A$7</c:f>
              <c:strCache>
                <c:ptCount val="3"/>
                <c:pt idx="0">
                  <c:v>AI m/Eks</c:v>
                </c:pt>
                <c:pt idx="1">
                  <c:v>AI u/Eks</c:v>
                </c:pt>
                <c:pt idx="2">
                  <c:v>Ekspert</c:v>
                </c:pt>
              </c:strCache>
            </c:strRef>
          </c:cat>
          <c:val>
            <c:numRef>
              <c:f>'Fagli SUM'!$E$5:$E$7</c:f>
              <c:numCache>
                <c:formatCode>General</c:formatCode>
                <c:ptCount val="3"/>
                <c:pt idx="0">
                  <c:v>4</c:v>
                </c:pt>
                <c:pt idx="1">
                  <c:v>3</c:v>
                </c:pt>
                <c:pt idx="2">
                  <c:v>5</c:v>
                </c:pt>
              </c:numCache>
            </c:numRef>
          </c:val>
          <c:extLst>
            <c:ext xmlns:c16="http://schemas.microsoft.com/office/drawing/2014/chart" uri="{C3380CC4-5D6E-409C-BE32-E72D297353CC}">
              <c16:uniqueId val="{00000004-1C91-4958-9C5E-5A61C4908C66}"/>
            </c:ext>
          </c:extLst>
        </c:ser>
        <c:ser>
          <c:idx val="4"/>
          <c:order val="4"/>
          <c:tx>
            <c:strRef>
              <c:f>'Fagli SUM'!$F$3:$F$4</c:f>
              <c:strCache>
                <c:ptCount val="1"/>
                <c:pt idx="0">
                  <c:v>R5</c:v>
                </c:pt>
              </c:strCache>
            </c:strRef>
          </c:tx>
          <c:spPr>
            <a:solidFill>
              <a:schemeClr val="accent5">
                <a:lumMod val="75000"/>
              </a:scheme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dk1"/>
                    </a:solidFill>
                    <a:latin typeface="+mn-lt"/>
                    <a:ea typeface="+mn-ea"/>
                    <a:cs typeface="+mn-cs"/>
                  </a:defRPr>
                </a:pPr>
                <a:endParaRPr lang="nb-N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'Fagli SUM'!$A$5:$A$7</c:f>
              <c:strCache>
                <c:ptCount val="3"/>
                <c:pt idx="0">
                  <c:v>AI m/Eks</c:v>
                </c:pt>
                <c:pt idx="1">
                  <c:v>AI u/Eks</c:v>
                </c:pt>
                <c:pt idx="2">
                  <c:v>Ekspert</c:v>
                </c:pt>
              </c:strCache>
            </c:strRef>
          </c:cat>
          <c:val>
            <c:numRef>
              <c:f>'Fagli SUM'!$F$5:$F$7</c:f>
              <c:numCache>
                <c:formatCode>General</c:formatCode>
                <c:ptCount val="3"/>
                <c:pt idx="0">
                  <c:v>4</c:v>
                </c:pt>
                <c:pt idx="1">
                  <c:v>4</c:v>
                </c:pt>
                <c:pt idx="2">
                  <c:v>4</c:v>
                </c:pt>
              </c:numCache>
            </c:numRef>
          </c:val>
          <c:extLst>
            <c:ext xmlns:c16="http://schemas.microsoft.com/office/drawing/2014/chart" uri="{C3380CC4-5D6E-409C-BE32-E72D297353CC}">
              <c16:uniqueId val="{00000005-1C91-4958-9C5E-5A61C4908C66}"/>
            </c:ext>
          </c:extLst>
        </c:ser>
        <c:ser>
          <c:idx val="5"/>
          <c:order val="5"/>
          <c:tx>
            <c:strRef>
              <c:f>'Fagli SUM'!$G$3:$G$4</c:f>
              <c:strCache>
                <c:ptCount val="1"/>
                <c:pt idx="0">
                  <c:v>R6</c:v>
                </c:pt>
              </c:strCache>
            </c:strRef>
          </c:tx>
          <c:spPr>
            <a:solidFill>
              <a:schemeClr val="accent6">
                <a:lumMod val="75000"/>
              </a:scheme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dk1"/>
                    </a:solidFill>
                    <a:latin typeface="+mn-lt"/>
                    <a:ea typeface="+mn-ea"/>
                    <a:cs typeface="+mn-cs"/>
                  </a:defRPr>
                </a:pPr>
                <a:endParaRPr lang="nb-N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'Fagli SUM'!$A$5:$A$7</c:f>
              <c:strCache>
                <c:ptCount val="3"/>
                <c:pt idx="0">
                  <c:v>AI m/Eks</c:v>
                </c:pt>
                <c:pt idx="1">
                  <c:v>AI u/Eks</c:v>
                </c:pt>
                <c:pt idx="2">
                  <c:v>Ekspert</c:v>
                </c:pt>
              </c:strCache>
            </c:strRef>
          </c:cat>
          <c:val>
            <c:numRef>
              <c:f>'Fagli SUM'!$G$5:$G$7</c:f>
              <c:numCache>
                <c:formatCode>General</c:formatCode>
                <c:ptCount val="3"/>
                <c:pt idx="0">
                  <c:v>2</c:v>
                </c:pt>
                <c:pt idx="1">
                  <c:v>2</c:v>
                </c:pt>
                <c:pt idx="2">
                  <c:v>4</c:v>
                </c:pt>
              </c:numCache>
            </c:numRef>
          </c:val>
          <c:extLst>
            <c:ext xmlns:c16="http://schemas.microsoft.com/office/drawing/2014/chart" uri="{C3380CC4-5D6E-409C-BE32-E72D297353CC}">
              <c16:uniqueId val="{00000006-1C91-4958-9C5E-5A61C4908C66}"/>
            </c:ext>
          </c:extLst>
        </c:ser>
        <c:dLbls>
          <c:dLblPos val="outEnd"/>
          <c:showLegendKey val="0"/>
          <c:showVal val="1"/>
          <c:showCatName val="0"/>
          <c:showSerName val="0"/>
          <c:showPercent val="0"/>
          <c:showBubbleSize val="0"/>
        </c:dLbls>
        <c:gapWidth val="219"/>
        <c:overlap val="-27"/>
        <c:axId val="2130360848"/>
        <c:axId val="2130333848"/>
      </c:barChart>
      <c:catAx>
        <c:axId val="2130360848"/>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800" b="1" i="0" u="none" strike="noStrike" kern="1200" baseline="0">
                <a:solidFill>
                  <a:schemeClr val="dk1"/>
                </a:solidFill>
                <a:latin typeface="+mn-lt"/>
                <a:ea typeface="+mn-ea"/>
                <a:cs typeface="+mn-cs"/>
              </a:defRPr>
            </a:pPr>
            <a:endParaRPr lang="nb-NO"/>
          </a:p>
        </c:txPr>
        <c:crossAx val="2130333848"/>
        <c:crosses val="autoZero"/>
        <c:auto val="1"/>
        <c:lblAlgn val="ctr"/>
        <c:lblOffset val="100"/>
        <c:noMultiLvlLbl val="0"/>
      </c:catAx>
      <c:valAx>
        <c:axId val="2130333848"/>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130360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800" b="0" i="0" u="none" strike="noStrike" kern="1200" baseline="0">
              <a:solidFill>
                <a:schemeClr val="dk1"/>
              </a:solidFill>
              <a:latin typeface="+mn-lt"/>
              <a:ea typeface="+mn-ea"/>
              <a:cs typeface="+mn-cs"/>
            </a:defRPr>
          </a:pPr>
          <a:endParaRPr lang="nb-NO"/>
        </a:p>
      </c:txPr>
    </c:legend>
    <c:plotVisOnly val="1"/>
    <c:dispBlanksAs val="gap"/>
    <c:showDLblsOverMax val="0"/>
  </c:chart>
  <c:spPr>
    <a:gradFill rotWithShape="1">
      <a:gsLst>
        <a:gs pos="0">
          <a:schemeClr val="bg2">
            <a:lumMod val="95000"/>
          </a:schemeClr>
        </a:gs>
        <a:gs pos="50000">
          <a:schemeClr val="bg2">
            <a:lumMod val="95000"/>
          </a:schemeClr>
        </a:gs>
        <a:gs pos="100000">
          <a:schemeClr val="bg2">
            <a:lumMod val="95000"/>
          </a:schemeClr>
        </a:gs>
      </a:gsLst>
      <a:lin ang="5400000" scaled="0"/>
    </a:gradFill>
    <a:ln w="6350" cap="flat" cmpd="sng" algn="ctr">
      <a:solidFill>
        <a:schemeClr val="bg2">
          <a:lumMod val="95000"/>
        </a:schemeClr>
      </a:solidFill>
      <a:prstDash val="solid"/>
      <a:miter lim="800000"/>
    </a:ln>
    <a:effectLst/>
  </c:spPr>
  <c:txPr>
    <a:bodyPr/>
    <a:lstStyle/>
    <a:p>
      <a:pPr>
        <a:defRPr>
          <a:solidFill>
            <a:schemeClr val="dk1"/>
          </a:solidFill>
          <a:latin typeface="+mn-lt"/>
          <a:ea typeface="+mn-ea"/>
          <a:cs typeface="+mn-cs"/>
        </a:defRPr>
      </a:pPr>
      <a:endParaRPr lang="nb-NO"/>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b-NO"/>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0555555555555555E-2"/>
          <c:y val="6.3681592039800991E-2"/>
          <c:w val="0.93888888888888888"/>
          <c:h val="0.86873631840796017"/>
        </c:manualLayout>
      </c:layout>
      <c:barChart>
        <c:barDir val="col"/>
        <c:grouping val="clustered"/>
        <c:varyColors val="0"/>
        <c:ser>
          <c:idx val="0"/>
          <c:order val="0"/>
          <c:tx>
            <c:strRef>
              <c:f>'Korrekt inndata'!$B$23</c:f>
              <c:strCache>
                <c:ptCount val="1"/>
                <c:pt idx="0">
                  <c:v>Korrekt inndata / generisk tekst</c:v>
                </c:pt>
              </c:strCache>
            </c:strRef>
          </c:tx>
          <c:spPr>
            <a:solidFill>
              <a:schemeClr val="accent2">
                <a:lumMod val="75000"/>
              </a:scheme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b-N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'Korrekt inndata'!$A$24:$A$29</c:f>
              <c:strCache>
                <c:ptCount val="6"/>
                <c:pt idx="0">
                  <c:v>R1</c:v>
                </c:pt>
                <c:pt idx="1">
                  <c:v>R2</c:v>
                </c:pt>
                <c:pt idx="2">
                  <c:v>R3</c:v>
                </c:pt>
                <c:pt idx="3">
                  <c:v>R4</c:v>
                </c:pt>
                <c:pt idx="4">
                  <c:v>R5</c:v>
                </c:pt>
                <c:pt idx="5">
                  <c:v>R6</c:v>
                </c:pt>
              </c:strCache>
            </c:strRef>
          </c:cat>
          <c:val>
            <c:numRef>
              <c:f>'Korrekt inndata'!$B$24:$B$29</c:f>
              <c:numCache>
                <c:formatCode>General</c:formatCode>
                <c:ptCount val="6"/>
                <c:pt idx="0">
                  <c:v>4</c:v>
                </c:pt>
                <c:pt idx="1">
                  <c:v>2</c:v>
                </c:pt>
                <c:pt idx="2">
                  <c:v>2</c:v>
                </c:pt>
                <c:pt idx="3">
                  <c:v>4</c:v>
                </c:pt>
                <c:pt idx="4">
                  <c:v>4</c:v>
                </c:pt>
                <c:pt idx="5">
                  <c:v>3</c:v>
                </c:pt>
              </c:numCache>
            </c:numRef>
          </c:val>
          <c:extLst>
            <c:ext xmlns:c16="http://schemas.microsoft.com/office/drawing/2014/chart" uri="{C3380CC4-5D6E-409C-BE32-E72D297353CC}">
              <c16:uniqueId val="{00000000-EE17-4005-8A36-8B2D1D8CD674}"/>
            </c:ext>
          </c:extLst>
        </c:ser>
        <c:dLbls>
          <c:dLblPos val="outEnd"/>
          <c:showLegendKey val="0"/>
          <c:showVal val="1"/>
          <c:showCatName val="0"/>
          <c:showSerName val="0"/>
          <c:showPercent val="0"/>
          <c:showBubbleSize val="0"/>
        </c:dLbls>
        <c:gapWidth val="219"/>
        <c:overlap val="-27"/>
        <c:axId val="73527479"/>
        <c:axId val="73531079"/>
      </c:barChart>
      <c:catAx>
        <c:axId val="73527479"/>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73531079"/>
        <c:crosses val="autoZero"/>
        <c:auto val="1"/>
        <c:lblAlgn val="ctr"/>
        <c:lblOffset val="100"/>
        <c:noMultiLvlLbl val="0"/>
      </c:catAx>
      <c:valAx>
        <c:axId val="73531079"/>
        <c:scaling>
          <c:orientation val="minMax"/>
        </c:scaling>
        <c:delete val="1"/>
        <c:axPos val="l"/>
        <c:numFmt formatCode="General" sourceLinked="1"/>
        <c:majorTickMark val="none"/>
        <c:minorTickMark val="none"/>
        <c:tickLblPos val="nextTo"/>
        <c:crossAx val="73527479"/>
        <c:crosses val="autoZero"/>
        <c:crossBetween val="between"/>
      </c:valA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6350" cap="flat" cmpd="sng" algn="ctr">
          <a:solidFill>
            <a:schemeClr val="accent2"/>
          </a:solidFill>
          <a:prstDash val="solid"/>
          <a:miter lim="800000"/>
        </a:ln>
        <a:effectLst/>
      </c:spPr>
    </c:plotArea>
    <c:plotVisOnly val="1"/>
    <c:dispBlanksAs val="gap"/>
    <c:showDLblsOverMax val="0"/>
  </c:chart>
  <c:spPr>
    <a:solidFill>
      <a:schemeClr val="accent2">
        <a:lumMod val="40000"/>
        <a:lumOff val="60000"/>
      </a:schemeClr>
    </a:solidFill>
    <a:ln w="9525" cap="flat" cmpd="sng" algn="ctr">
      <a:solidFill>
        <a:schemeClr val="tx1">
          <a:lumMod val="15000"/>
          <a:lumOff val="85000"/>
        </a:schemeClr>
      </a:solidFill>
      <a:round/>
    </a:ln>
    <a:effectLst/>
  </c:spPr>
  <c:txPr>
    <a:bodyPr/>
    <a:lstStyle/>
    <a:p>
      <a:pPr>
        <a:defRPr/>
      </a:pPr>
      <a:endParaRPr lang="nb-NO"/>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b-NO"/>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'Korrekt inndata'!$B$32</c:f>
              <c:strCache>
                <c:ptCount val="1"/>
                <c:pt idx="0">
                  <c:v>Korrekt inndata / generisk tekst</c:v>
                </c:pt>
              </c:strCache>
            </c:strRef>
          </c:tx>
          <c:spPr>
            <a:solidFill>
              <a:schemeClr val="accent3">
                <a:lumMod val="75000"/>
              </a:scheme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b-N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'Korrekt inndata'!$A$33:$A$38</c:f>
              <c:strCache>
                <c:ptCount val="6"/>
                <c:pt idx="0">
                  <c:v>R1</c:v>
                </c:pt>
                <c:pt idx="1">
                  <c:v>R2</c:v>
                </c:pt>
                <c:pt idx="2">
                  <c:v>R3</c:v>
                </c:pt>
                <c:pt idx="3">
                  <c:v>R4</c:v>
                </c:pt>
                <c:pt idx="4">
                  <c:v>R5</c:v>
                </c:pt>
                <c:pt idx="5">
                  <c:v>R6</c:v>
                </c:pt>
              </c:strCache>
            </c:strRef>
          </c:cat>
          <c:val>
            <c:numRef>
              <c:f>'Korrekt inndata'!$B$33:$B$38</c:f>
              <c:numCache>
                <c:formatCode>General</c:formatCode>
                <c:ptCount val="6"/>
                <c:pt idx="0">
                  <c:v>4</c:v>
                </c:pt>
                <c:pt idx="1">
                  <c:v>3</c:v>
                </c:pt>
                <c:pt idx="2">
                  <c:v>3</c:v>
                </c:pt>
                <c:pt idx="3">
                  <c:v>3</c:v>
                </c:pt>
                <c:pt idx="4">
                  <c:v>4</c:v>
                </c:pt>
                <c:pt idx="5">
                  <c:v>3</c:v>
                </c:pt>
              </c:numCache>
            </c:numRef>
          </c:val>
          <c:extLst>
            <c:ext xmlns:c16="http://schemas.microsoft.com/office/drawing/2014/chart" uri="{C3380CC4-5D6E-409C-BE32-E72D297353CC}">
              <c16:uniqueId val="{00000000-5450-48B7-BFAE-A06978794534}"/>
            </c:ext>
          </c:extLst>
        </c:ser>
        <c:dLbls>
          <c:dLblPos val="outEnd"/>
          <c:showLegendKey val="0"/>
          <c:showVal val="1"/>
          <c:showCatName val="0"/>
          <c:showSerName val="0"/>
          <c:showPercent val="0"/>
          <c:showBubbleSize val="0"/>
        </c:dLbls>
        <c:gapWidth val="219"/>
        <c:overlap val="-27"/>
        <c:axId val="37001263"/>
        <c:axId val="36996223"/>
      </c:barChart>
      <c:catAx>
        <c:axId val="37001263"/>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36996223"/>
        <c:crosses val="autoZero"/>
        <c:auto val="1"/>
        <c:lblAlgn val="ctr"/>
        <c:lblOffset val="100"/>
        <c:noMultiLvlLbl val="0"/>
      </c:catAx>
      <c:valAx>
        <c:axId val="36996223"/>
        <c:scaling>
          <c:orientation val="minMax"/>
        </c:scaling>
        <c:delete val="1"/>
        <c:axPos val="l"/>
        <c:numFmt formatCode="General" sourceLinked="1"/>
        <c:majorTickMark val="out"/>
        <c:minorTickMark val="none"/>
        <c:tickLblPos val="nextTo"/>
        <c:crossAx val="37001263"/>
        <c:crosses val="autoZero"/>
        <c:crossBetween val="between"/>
      </c:valAx>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6350" cap="flat" cmpd="sng" algn="ctr">
          <a:solidFill>
            <a:schemeClr val="accent3"/>
          </a:solidFill>
          <a:prstDash val="solid"/>
          <a:miter lim="800000"/>
        </a:ln>
        <a:effectLst/>
      </c:spPr>
    </c:plotArea>
    <c:plotVisOnly val="1"/>
    <c:dispBlanksAs val="gap"/>
    <c:showDLblsOverMax val="0"/>
  </c:chart>
  <c:spPr>
    <a:solidFill>
      <a:schemeClr val="accent3">
        <a:lumMod val="40000"/>
        <a:lumOff val="60000"/>
      </a:schemeClr>
    </a:solidFill>
    <a:ln w="9525" cap="flat" cmpd="sng" algn="ctr">
      <a:solidFill>
        <a:schemeClr val="tx1">
          <a:lumMod val="15000"/>
          <a:lumOff val="85000"/>
        </a:schemeClr>
      </a:solidFill>
      <a:round/>
    </a:ln>
    <a:effectLst/>
  </c:spPr>
  <c:txPr>
    <a:bodyPr/>
    <a:lstStyle/>
    <a:p>
      <a:pPr>
        <a:defRPr/>
      </a:pPr>
      <a:endParaRPr lang="nb-NO"/>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b-NO"/>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'Korrekt inndata'!$B$41</c:f>
              <c:strCache>
                <c:ptCount val="1"/>
                <c:pt idx="0">
                  <c:v>Korrekt inndata / generisk tekst</c:v>
                </c:pt>
              </c:strCache>
            </c:strRef>
          </c:tx>
          <c:spPr>
            <a:solidFill>
              <a:schemeClr val="accent1"/>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b-N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'Korrekt inndata'!$A$42:$A$47</c:f>
              <c:strCache>
                <c:ptCount val="6"/>
                <c:pt idx="0">
                  <c:v>R1</c:v>
                </c:pt>
                <c:pt idx="1">
                  <c:v>R2</c:v>
                </c:pt>
                <c:pt idx="2">
                  <c:v>R3</c:v>
                </c:pt>
                <c:pt idx="3">
                  <c:v>R4</c:v>
                </c:pt>
                <c:pt idx="4">
                  <c:v>R5</c:v>
                </c:pt>
                <c:pt idx="5">
                  <c:v>R6</c:v>
                </c:pt>
              </c:strCache>
            </c:strRef>
          </c:cat>
          <c:val>
            <c:numRef>
              <c:f>'Korrekt inndata'!$B$42:$B$47</c:f>
              <c:numCache>
                <c:formatCode>General</c:formatCode>
                <c:ptCount val="6"/>
                <c:pt idx="0">
                  <c:v>5</c:v>
                </c:pt>
                <c:pt idx="1">
                  <c:v>2</c:v>
                </c:pt>
                <c:pt idx="2">
                  <c:v>2</c:v>
                </c:pt>
                <c:pt idx="3">
                  <c:v>5</c:v>
                </c:pt>
                <c:pt idx="4">
                  <c:v>4</c:v>
                </c:pt>
                <c:pt idx="5">
                  <c:v>4</c:v>
                </c:pt>
              </c:numCache>
            </c:numRef>
          </c:val>
          <c:extLst>
            <c:ext xmlns:c16="http://schemas.microsoft.com/office/drawing/2014/chart" uri="{C3380CC4-5D6E-409C-BE32-E72D297353CC}">
              <c16:uniqueId val="{00000000-229E-4972-A8B7-F77F583D87F8}"/>
            </c:ext>
          </c:extLst>
        </c:ser>
        <c:dLbls>
          <c:dLblPos val="outEnd"/>
          <c:showLegendKey val="0"/>
          <c:showVal val="1"/>
          <c:showCatName val="0"/>
          <c:showSerName val="0"/>
          <c:showPercent val="0"/>
          <c:showBubbleSize val="0"/>
        </c:dLbls>
        <c:gapWidth val="219"/>
        <c:overlap val="-27"/>
        <c:axId val="49522951"/>
        <c:axId val="49520791"/>
      </c:barChart>
      <c:catAx>
        <c:axId val="49522951"/>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49520791"/>
        <c:crosses val="autoZero"/>
        <c:auto val="1"/>
        <c:lblAlgn val="ctr"/>
        <c:lblOffset val="100"/>
        <c:noMultiLvlLbl val="0"/>
      </c:catAx>
      <c:valAx>
        <c:axId val="49520791"/>
        <c:scaling>
          <c:orientation val="minMax"/>
        </c:scaling>
        <c:delete val="1"/>
        <c:axPos val="l"/>
        <c:numFmt formatCode="General" sourceLinked="1"/>
        <c:majorTickMark val="none"/>
        <c:minorTickMark val="none"/>
        <c:tickLblPos val="nextTo"/>
        <c:crossAx val="49522951"/>
        <c:crosses val="autoZero"/>
        <c:crossBetween val="between"/>
      </c:valA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6350" cap="flat" cmpd="sng" algn="ctr">
          <a:solidFill>
            <a:schemeClr val="accent1"/>
          </a:solidFill>
          <a:prstDash val="solid"/>
          <a:miter lim="800000"/>
        </a:ln>
        <a:effectLst/>
      </c:spPr>
    </c:plotArea>
    <c:plotVisOnly val="1"/>
    <c:dispBlanksAs val="gap"/>
    <c:showDLblsOverMax val="0"/>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nb-NO"/>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b-NO"/>
  <c:roundedCorners val="0"/>
  <mc:AlternateContent xmlns:mc="http://schemas.openxmlformats.org/markup-compatibility/2006">
    <mc:Choice xmlns:c14="http://schemas.microsoft.com/office/drawing/2007/8/2/chart" Requires="c14">
      <c14:style val="102"/>
    </mc:Choice>
    <mc:Fallback>
      <c:style val="2"/>
    </mc:Fallback>
  </mc:AlternateContent>
  <c:pivotSource>
    <c:name>[Faglig vurdering av fraviksdokumentasjon  (Svar).xlsx]Korrekt inndata SUM!Pivottabell131</c:name>
    <c:fmtId val="0"/>
  </c:pivotSource>
  <c:chart>
    <c:autoTitleDeleted val="1"/>
    <c:pivotFmts>
      <c:pivotFmt>
        <c:idx val="0"/>
        <c:spPr>
          <a:solidFill>
            <a:schemeClr val="accent4">
              <a:lumMod val="75000"/>
            </a:schemeClr>
          </a:solidFill>
          <a:ln>
            <a:solidFill>
              <a:schemeClr val="tx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nb-N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dk1"/>
                  </a:solidFill>
                  <a:latin typeface="+mn-lt"/>
                  <a:ea typeface="+mn-ea"/>
                  <a:cs typeface="+mn-cs"/>
                </a:defRPr>
              </a:pPr>
              <a:endParaRPr lang="nb-N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lumMod val="75000"/>
            </a:schemeClr>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dk1"/>
                  </a:solidFill>
                  <a:latin typeface="+mn-lt"/>
                  <a:ea typeface="+mn-ea"/>
                  <a:cs typeface="+mn-cs"/>
                </a:defRPr>
              </a:pPr>
              <a:endParaRPr lang="nb-N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7030A0"/>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dk1"/>
                  </a:solidFill>
                  <a:latin typeface="+mn-lt"/>
                  <a:ea typeface="+mn-ea"/>
                  <a:cs typeface="+mn-cs"/>
                </a:defRPr>
              </a:pPr>
              <a:endParaRPr lang="nb-N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dk1"/>
                  </a:solidFill>
                  <a:latin typeface="+mn-lt"/>
                  <a:ea typeface="+mn-ea"/>
                  <a:cs typeface="+mn-cs"/>
                </a:defRPr>
              </a:pPr>
              <a:endParaRPr lang="nb-N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dk1"/>
                  </a:solidFill>
                  <a:latin typeface="+mn-lt"/>
                  <a:ea typeface="+mn-ea"/>
                  <a:cs typeface="+mn-cs"/>
                </a:defRPr>
              </a:pPr>
              <a:endParaRPr lang="nb-N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lumMod val="75000"/>
            </a:schemeClr>
          </a:solidFill>
          <a:ln>
            <a:solidFill>
              <a:schemeClr val="tx1"/>
            </a:solidFill>
          </a:ln>
          <a:effectLst/>
        </c:spPr>
        <c:marker>
          <c:symbol val="none"/>
        </c:marker>
        <c:dLbl>
          <c:idx val="0"/>
          <c:spPr>
            <a:noFill/>
            <a:ln>
              <a:noFill/>
            </a:ln>
            <a:effectLst/>
          </c:spPr>
          <c:txPr>
            <a:bodyPr rot="0" spcFirstLastPara="1" vertOverflow="overflow" horzOverflow="overflow" vert="horz" wrap="square" anchor="ctr" anchorCtr="0">
              <a:noAutofit/>
            </a:bodyPr>
            <a:lstStyle/>
            <a:p>
              <a:pPr algn="ctr">
                <a:defRPr lang="en-US" sz="1400" b="1" i="0" u="none" strike="noStrike" kern="1200" baseline="0">
                  <a:solidFill>
                    <a:schemeClr val="dk1"/>
                  </a:solidFill>
                  <a:latin typeface="+mn-lt"/>
                  <a:ea typeface="+mn-ea"/>
                  <a:cs typeface="+mn-cs"/>
                </a:defRPr>
              </a:pPr>
              <a:endParaRPr lang="nb-NO"/>
            </a:p>
          </c:txPr>
          <c:showLegendKey val="0"/>
          <c:showVal val="1"/>
          <c:showCatName val="0"/>
          <c:showSerName val="0"/>
          <c:showPercent val="1"/>
          <c:showBubbleSize val="1"/>
          <c:extLst>
            <c:ext xmlns:c15="http://schemas.microsoft.com/office/drawing/2012/chart" uri="{CE6537A1-D6FC-4f65-9D91-7224C49458BB}"/>
          </c:extLst>
        </c:dLbl>
      </c:pivotFmt>
      <c:pivotFmt>
        <c:idx val="7"/>
        <c:spPr>
          <a:solidFill>
            <a:schemeClr val="accent4">
              <a:lumMod val="75000"/>
            </a:schemeClr>
          </a:solidFill>
          <a:ln>
            <a:solidFill>
              <a:schemeClr val="tx1"/>
            </a:solidFill>
          </a:ln>
          <a:effectLst/>
        </c:spPr>
        <c:dLbl>
          <c:idx val="0"/>
          <c:spPr>
            <a:noFill/>
            <a:ln>
              <a:noFill/>
            </a:ln>
            <a:effectLst/>
          </c:spPr>
          <c:txPr>
            <a:bodyPr rot="0" spcFirstLastPara="1" vertOverflow="overflow" horzOverflow="overflow" vert="horz" wrap="square" anchor="ctr" anchorCtr="0">
              <a:noAutofit/>
            </a:bodyPr>
            <a:lstStyle/>
            <a:p>
              <a:pPr algn="ctr">
                <a:defRPr lang="en-US" sz="1400" b="1" i="0" u="none" strike="noStrike" kern="1200" baseline="0">
                  <a:solidFill>
                    <a:schemeClr val="dk1"/>
                  </a:solidFill>
                  <a:latin typeface="+mn-lt"/>
                  <a:ea typeface="+mn-ea"/>
                  <a:cs typeface="+mn-cs"/>
                </a:defRPr>
              </a:pPr>
              <a:endParaRPr lang="nb-NO"/>
            </a:p>
          </c:txPr>
          <c:showLegendKey val="0"/>
          <c:showVal val="1"/>
          <c:showCatName val="0"/>
          <c:showSerName val="0"/>
          <c:showPercent val="1"/>
          <c:showBubbleSize val="1"/>
          <c:extLst>
            <c:ext xmlns:c15="http://schemas.microsoft.com/office/drawing/2012/chart" uri="{CE6537A1-D6FC-4f65-9D91-7224C49458BB}">
              <c15:layout>
                <c:manualLayout>
                  <c:w val="9.3467649597491584E-2"/>
                  <c:h val="3.6092060500551019E-2"/>
                </c:manualLayout>
              </c15:layout>
            </c:ext>
          </c:extLst>
        </c:dLbl>
      </c:pivotFmt>
      <c:pivotFmt>
        <c:idx val="8"/>
        <c:spPr>
          <a:solidFill>
            <a:schemeClr val="accent4">
              <a:lumMod val="75000"/>
            </a:schemeClr>
          </a:solidFill>
          <a:ln>
            <a:solidFill>
              <a:schemeClr val="tx1"/>
            </a:solidFill>
          </a:ln>
          <a:effectLst/>
        </c:spPr>
        <c:dLbl>
          <c:idx val="0"/>
          <c:spPr>
            <a:noFill/>
            <a:ln>
              <a:noFill/>
            </a:ln>
            <a:effectLst/>
          </c:spPr>
          <c:txPr>
            <a:bodyPr rot="0" spcFirstLastPara="1" vertOverflow="overflow" horzOverflow="overflow" vert="horz" wrap="square" anchor="ctr" anchorCtr="0">
              <a:noAutofit/>
            </a:bodyPr>
            <a:lstStyle/>
            <a:p>
              <a:pPr algn="ctr">
                <a:defRPr lang="en-US" sz="1400" b="1" i="0" u="none" strike="noStrike" kern="1200" baseline="0">
                  <a:solidFill>
                    <a:schemeClr val="dk1"/>
                  </a:solidFill>
                  <a:latin typeface="+mn-lt"/>
                  <a:ea typeface="+mn-ea"/>
                  <a:cs typeface="+mn-cs"/>
                </a:defRPr>
              </a:pPr>
              <a:endParaRPr lang="nb-NO"/>
            </a:p>
          </c:txPr>
          <c:showLegendKey val="0"/>
          <c:showVal val="1"/>
          <c:showCatName val="0"/>
          <c:showSerName val="0"/>
          <c:showPercent val="1"/>
          <c:showBubbleSize val="1"/>
          <c:extLst>
            <c:ext xmlns:c15="http://schemas.microsoft.com/office/drawing/2012/chart" uri="{CE6537A1-D6FC-4f65-9D91-7224C49458BB}">
              <c15:layout>
                <c:manualLayout>
                  <c:w val="9.0671229015836102E-2"/>
                  <c:h val="3.6092060500551019E-2"/>
                </c:manualLayout>
              </c15:layout>
            </c:ext>
          </c:extLst>
        </c:dLbl>
      </c:pivotFmt>
      <c:pivotFmt>
        <c:idx val="9"/>
        <c:spPr>
          <a:solidFill>
            <a:schemeClr val="accent4">
              <a:lumMod val="75000"/>
            </a:schemeClr>
          </a:solidFill>
          <a:ln>
            <a:solidFill>
              <a:schemeClr val="tx1"/>
            </a:solidFill>
          </a:ln>
          <a:effectLst/>
        </c:spPr>
        <c:dLbl>
          <c:idx val="0"/>
          <c:spPr>
            <a:noFill/>
            <a:ln>
              <a:noFill/>
            </a:ln>
            <a:effectLst/>
          </c:spPr>
          <c:txPr>
            <a:bodyPr rot="0" spcFirstLastPara="1" vertOverflow="overflow" horzOverflow="overflow" vert="horz" wrap="square" anchor="ctr" anchorCtr="0">
              <a:noAutofit/>
            </a:bodyPr>
            <a:lstStyle/>
            <a:p>
              <a:pPr algn="ctr">
                <a:defRPr lang="en-US" sz="1400" b="1" i="0" u="none" strike="noStrike" kern="1200" baseline="0">
                  <a:solidFill>
                    <a:schemeClr val="dk1"/>
                  </a:solidFill>
                  <a:latin typeface="+mn-lt"/>
                  <a:ea typeface="+mn-ea"/>
                  <a:cs typeface="+mn-cs"/>
                </a:defRPr>
              </a:pPr>
              <a:endParaRPr lang="nb-NO"/>
            </a:p>
          </c:txPr>
          <c:showLegendKey val="0"/>
          <c:showVal val="1"/>
          <c:showCatName val="0"/>
          <c:showSerName val="0"/>
          <c:showPercent val="1"/>
          <c:showBubbleSize val="1"/>
          <c:extLst>
            <c:ext xmlns:c15="http://schemas.microsoft.com/office/drawing/2012/chart" uri="{CE6537A1-D6FC-4f65-9D91-7224C49458BB}">
              <c15:layout>
                <c:manualLayout>
                  <c:w val="8.7874808434180621E-2"/>
                  <c:h val="3.6092060500551019E-2"/>
                </c:manualLayout>
              </c15:layout>
            </c:ext>
          </c:extLst>
        </c:dLbl>
      </c:pivotFmt>
    </c:pivotFmts>
    <c:plotArea>
      <c:layout/>
      <c:barChart>
        <c:barDir val="col"/>
        <c:grouping val="clustered"/>
        <c:varyColors val="0"/>
        <c:ser>
          <c:idx val="0"/>
          <c:order val="0"/>
          <c:tx>
            <c:strRef>
              <c:f>'Korrekt inndata SUM'!$B$3:$B$4</c:f>
              <c:strCache>
                <c:ptCount val="1"/>
                <c:pt idx="0">
                  <c:v>R1</c:v>
                </c:pt>
              </c:strCache>
            </c:strRef>
          </c:tx>
          <c:spPr>
            <a:solidFill>
              <a:schemeClr val="accent4">
                <a:lumMod val="75000"/>
              </a:schemeClr>
            </a:solidFill>
            <a:ln>
              <a:solidFill>
                <a:schemeClr val="tx1"/>
              </a:solidFill>
            </a:ln>
            <a:effectLst/>
          </c:spPr>
          <c:invertIfNegative val="0"/>
          <c:dPt>
            <c:idx val="0"/>
            <c:invertIfNegative val="0"/>
            <c:bubble3D val="0"/>
            <c:extLst>
              <c:ext xmlns:c16="http://schemas.microsoft.com/office/drawing/2014/chart" uri="{C3380CC4-5D6E-409C-BE32-E72D297353CC}">
                <c16:uniqueId val="{00000000-AD63-4857-ACFD-D52DF133474A}"/>
              </c:ext>
            </c:extLst>
          </c:dPt>
          <c:dPt>
            <c:idx val="1"/>
            <c:invertIfNegative val="0"/>
            <c:bubble3D val="0"/>
            <c:extLst>
              <c:ext xmlns:c16="http://schemas.microsoft.com/office/drawing/2014/chart" uri="{C3380CC4-5D6E-409C-BE32-E72D297353CC}">
                <c16:uniqueId val="{00000001-AD63-4857-ACFD-D52DF133474A}"/>
              </c:ext>
            </c:extLst>
          </c:dPt>
          <c:dPt>
            <c:idx val="2"/>
            <c:invertIfNegative val="0"/>
            <c:bubble3D val="0"/>
            <c:extLst>
              <c:ext xmlns:c16="http://schemas.microsoft.com/office/drawing/2014/chart" uri="{C3380CC4-5D6E-409C-BE32-E72D297353CC}">
                <c16:uniqueId val="{00000002-AD63-4857-ACFD-D52DF133474A}"/>
              </c:ext>
            </c:extLst>
          </c:dPt>
          <c:dLbls>
            <c:dLbl>
              <c:idx val="0"/>
              <c:showLegendKey val="0"/>
              <c:showVal val="1"/>
              <c:showCatName val="0"/>
              <c:showSerName val="0"/>
              <c:showPercent val="1"/>
              <c:showBubbleSize val="1"/>
              <c:extLst>
                <c:ext xmlns:c15="http://schemas.microsoft.com/office/drawing/2012/chart" uri="{CE6537A1-D6FC-4f65-9D91-7224C49458BB}">
                  <c15:layout>
                    <c:manualLayout>
                      <c:w val="9.3467649597491584E-2"/>
                      <c:h val="3.6092060500551019E-2"/>
                    </c:manualLayout>
                  </c15:layout>
                </c:ext>
                <c:ext xmlns:c16="http://schemas.microsoft.com/office/drawing/2014/chart" uri="{C3380CC4-5D6E-409C-BE32-E72D297353CC}">
                  <c16:uniqueId val="{00000000-AD63-4857-ACFD-D52DF133474A}"/>
                </c:ext>
              </c:extLst>
            </c:dLbl>
            <c:dLbl>
              <c:idx val="1"/>
              <c:showLegendKey val="0"/>
              <c:showVal val="1"/>
              <c:showCatName val="0"/>
              <c:showSerName val="0"/>
              <c:showPercent val="1"/>
              <c:showBubbleSize val="1"/>
              <c:extLst>
                <c:ext xmlns:c15="http://schemas.microsoft.com/office/drawing/2012/chart" uri="{CE6537A1-D6FC-4f65-9D91-7224C49458BB}">
                  <c15:layout>
                    <c:manualLayout>
                      <c:w val="9.0671229015836102E-2"/>
                      <c:h val="3.6092060500551019E-2"/>
                    </c:manualLayout>
                  </c15:layout>
                </c:ext>
                <c:ext xmlns:c16="http://schemas.microsoft.com/office/drawing/2014/chart" uri="{C3380CC4-5D6E-409C-BE32-E72D297353CC}">
                  <c16:uniqueId val="{00000001-AD63-4857-ACFD-D52DF133474A}"/>
                </c:ext>
              </c:extLst>
            </c:dLbl>
            <c:dLbl>
              <c:idx val="2"/>
              <c:showLegendKey val="0"/>
              <c:showVal val="1"/>
              <c:showCatName val="0"/>
              <c:showSerName val="0"/>
              <c:showPercent val="1"/>
              <c:showBubbleSize val="1"/>
              <c:extLst>
                <c:ext xmlns:c15="http://schemas.microsoft.com/office/drawing/2012/chart" uri="{CE6537A1-D6FC-4f65-9D91-7224C49458BB}">
                  <c15:layout>
                    <c:manualLayout>
                      <c:w val="8.7874808434180621E-2"/>
                      <c:h val="3.6092060500551019E-2"/>
                    </c:manualLayout>
                  </c15:layout>
                </c:ext>
                <c:ext xmlns:c16="http://schemas.microsoft.com/office/drawing/2014/chart" uri="{C3380CC4-5D6E-409C-BE32-E72D297353CC}">
                  <c16:uniqueId val="{00000002-AD63-4857-ACFD-D52DF133474A}"/>
                </c:ext>
              </c:extLst>
            </c:dLbl>
            <c:spPr>
              <a:noFill/>
              <a:ln>
                <a:noFill/>
              </a:ln>
              <a:effectLst/>
            </c:spPr>
            <c:txPr>
              <a:bodyPr rot="0" spcFirstLastPara="1" vertOverflow="overflow" horzOverflow="overflow" vert="horz" wrap="square" anchor="ctr" anchorCtr="0">
                <a:noAutofit/>
              </a:bodyPr>
              <a:lstStyle/>
              <a:p>
                <a:pPr algn="ctr">
                  <a:defRPr lang="en-US" sz="1400" b="1" i="0" u="none" strike="noStrike" kern="1200" baseline="0">
                    <a:solidFill>
                      <a:schemeClr val="dk1"/>
                    </a:solidFill>
                    <a:latin typeface="+mn-lt"/>
                    <a:ea typeface="+mn-ea"/>
                    <a:cs typeface="+mn-cs"/>
                  </a:defRPr>
                </a:pPr>
                <a:endParaRPr lang="nb-NO"/>
              </a:p>
            </c:txPr>
            <c:showLegendKey val="0"/>
            <c:showVal val="1"/>
            <c:showCatName val="0"/>
            <c:showSerName val="0"/>
            <c:showPercent val="1"/>
            <c:showBubbleSize val="1"/>
            <c:showLeaderLines val="0"/>
            <c:extLst>
              <c:ext xmlns:c15="http://schemas.microsoft.com/office/drawing/2012/chart" uri="{CE6537A1-D6FC-4f65-9D91-7224C49458BB}">
                <c15:showLeaderLines val="0"/>
              </c:ext>
            </c:extLst>
          </c:dLbls>
          <c:cat>
            <c:strRef>
              <c:f>'Korrekt inndata SUM'!$A$5:$A$7</c:f>
              <c:strCache>
                <c:ptCount val="3"/>
                <c:pt idx="0">
                  <c:v>AI m/Eks</c:v>
                </c:pt>
                <c:pt idx="1">
                  <c:v>AI u/Eks</c:v>
                </c:pt>
                <c:pt idx="2">
                  <c:v>Ekspert</c:v>
                </c:pt>
              </c:strCache>
            </c:strRef>
          </c:cat>
          <c:val>
            <c:numRef>
              <c:f>'Korrekt inndata SUM'!$B$5:$B$7</c:f>
              <c:numCache>
                <c:formatCode>General</c:formatCode>
                <c:ptCount val="3"/>
                <c:pt idx="0">
                  <c:v>4</c:v>
                </c:pt>
                <c:pt idx="1">
                  <c:v>4</c:v>
                </c:pt>
                <c:pt idx="2">
                  <c:v>5</c:v>
                </c:pt>
              </c:numCache>
            </c:numRef>
          </c:val>
          <c:extLst>
            <c:ext xmlns:c16="http://schemas.microsoft.com/office/drawing/2014/chart" uri="{C3380CC4-5D6E-409C-BE32-E72D297353CC}">
              <c16:uniqueId val="{00000000-1F4B-41CB-AE33-5D33E29F15C8}"/>
            </c:ext>
          </c:extLst>
        </c:ser>
        <c:ser>
          <c:idx val="1"/>
          <c:order val="1"/>
          <c:tx>
            <c:strRef>
              <c:f>'Korrekt inndata SUM'!$C$3:$C$4</c:f>
              <c:strCache>
                <c:ptCount val="1"/>
                <c:pt idx="0">
                  <c:v>R2</c:v>
                </c:pt>
              </c:strCache>
            </c:strRef>
          </c:tx>
          <c:spPr>
            <a:solidFill>
              <a:schemeClr val="accent2">
                <a:lumMod val="75000"/>
              </a:scheme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dk1"/>
                    </a:solidFill>
                    <a:latin typeface="+mn-lt"/>
                    <a:ea typeface="+mn-ea"/>
                    <a:cs typeface="+mn-cs"/>
                  </a:defRPr>
                </a:pPr>
                <a:endParaRPr lang="nb-N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'Korrekt inndata SUM'!$A$5:$A$7</c:f>
              <c:strCache>
                <c:ptCount val="3"/>
                <c:pt idx="0">
                  <c:v>AI m/Eks</c:v>
                </c:pt>
                <c:pt idx="1">
                  <c:v>AI u/Eks</c:v>
                </c:pt>
                <c:pt idx="2">
                  <c:v>Ekspert</c:v>
                </c:pt>
              </c:strCache>
            </c:strRef>
          </c:cat>
          <c:val>
            <c:numRef>
              <c:f>'Korrekt inndata SUM'!$C$5:$C$7</c:f>
              <c:numCache>
                <c:formatCode>General</c:formatCode>
                <c:ptCount val="3"/>
                <c:pt idx="0">
                  <c:v>2</c:v>
                </c:pt>
                <c:pt idx="1">
                  <c:v>3</c:v>
                </c:pt>
                <c:pt idx="2">
                  <c:v>2</c:v>
                </c:pt>
              </c:numCache>
            </c:numRef>
          </c:val>
          <c:extLst>
            <c:ext xmlns:c16="http://schemas.microsoft.com/office/drawing/2014/chart" uri="{C3380CC4-5D6E-409C-BE32-E72D297353CC}">
              <c16:uniqueId val="{00000000-0013-4211-BB3D-31BE090F073E}"/>
            </c:ext>
          </c:extLst>
        </c:ser>
        <c:ser>
          <c:idx val="2"/>
          <c:order val="2"/>
          <c:tx>
            <c:strRef>
              <c:f>'Korrekt inndata SUM'!$D$3:$D$4</c:f>
              <c:strCache>
                <c:ptCount val="1"/>
                <c:pt idx="0">
                  <c:v>R3</c:v>
                </c:pt>
              </c:strCache>
            </c:strRef>
          </c:tx>
          <c:spPr>
            <a:solidFill>
              <a:schemeClr val="accent3">
                <a:lumMod val="75000"/>
              </a:scheme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dk1"/>
                    </a:solidFill>
                    <a:latin typeface="+mn-lt"/>
                    <a:ea typeface="+mn-ea"/>
                    <a:cs typeface="+mn-cs"/>
                  </a:defRPr>
                </a:pPr>
                <a:endParaRPr lang="nb-N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'Korrekt inndata SUM'!$A$5:$A$7</c:f>
              <c:strCache>
                <c:ptCount val="3"/>
                <c:pt idx="0">
                  <c:v>AI m/Eks</c:v>
                </c:pt>
                <c:pt idx="1">
                  <c:v>AI u/Eks</c:v>
                </c:pt>
                <c:pt idx="2">
                  <c:v>Ekspert</c:v>
                </c:pt>
              </c:strCache>
            </c:strRef>
          </c:cat>
          <c:val>
            <c:numRef>
              <c:f>'Korrekt inndata SUM'!$D$5:$D$7</c:f>
              <c:numCache>
                <c:formatCode>General</c:formatCode>
                <c:ptCount val="3"/>
                <c:pt idx="0">
                  <c:v>2</c:v>
                </c:pt>
                <c:pt idx="1">
                  <c:v>3</c:v>
                </c:pt>
                <c:pt idx="2">
                  <c:v>2</c:v>
                </c:pt>
              </c:numCache>
            </c:numRef>
          </c:val>
          <c:extLst>
            <c:ext xmlns:c16="http://schemas.microsoft.com/office/drawing/2014/chart" uri="{C3380CC4-5D6E-409C-BE32-E72D297353CC}">
              <c16:uniqueId val="{00000001-0013-4211-BB3D-31BE090F073E}"/>
            </c:ext>
          </c:extLst>
        </c:ser>
        <c:ser>
          <c:idx val="3"/>
          <c:order val="3"/>
          <c:tx>
            <c:strRef>
              <c:f>'Korrekt inndata SUM'!$E$3:$E$4</c:f>
              <c:strCache>
                <c:ptCount val="1"/>
                <c:pt idx="0">
                  <c:v>R4</c:v>
                </c:pt>
              </c:strCache>
            </c:strRef>
          </c:tx>
          <c:spPr>
            <a:solidFill>
              <a:srgbClr val="7030A0"/>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dk1"/>
                    </a:solidFill>
                    <a:latin typeface="+mn-lt"/>
                    <a:ea typeface="+mn-ea"/>
                    <a:cs typeface="+mn-cs"/>
                  </a:defRPr>
                </a:pPr>
                <a:endParaRPr lang="nb-N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'Korrekt inndata SUM'!$A$5:$A$7</c:f>
              <c:strCache>
                <c:ptCount val="3"/>
                <c:pt idx="0">
                  <c:v>AI m/Eks</c:v>
                </c:pt>
                <c:pt idx="1">
                  <c:v>AI u/Eks</c:v>
                </c:pt>
                <c:pt idx="2">
                  <c:v>Ekspert</c:v>
                </c:pt>
              </c:strCache>
            </c:strRef>
          </c:cat>
          <c:val>
            <c:numRef>
              <c:f>'Korrekt inndata SUM'!$E$5:$E$7</c:f>
              <c:numCache>
                <c:formatCode>General</c:formatCode>
                <c:ptCount val="3"/>
                <c:pt idx="0">
                  <c:v>4</c:v>
                </c:pt>
                <c:pt idx="1">
                  <c:v>3</c:v>
                </c:pt>
                <c:pt idx="2">
                  <c:v>5</c:v>
                </c:pt>
              </c:numCache>
            </c:numRef>
          </c:val>
          <c:extLst>
            <c:ext xmlns:c16="http://schemas.microsoft.com/office/drawing/2014/chart" uri="{C3380CC4-5D6E-409C-BE32-E72D297353CC}">
              <c16:uniqueId val="{00000002-0013-4211-BB3D-31BE090F073E}"/>
            </c:ext>
          </c:extLst>
        </c:ser>
        <c:ser>
          <c:idx val="4"/>
          <c:order val="4"/>
          <c:tx>
            <c:strRef>
              <c:f>'Korrekt inndata SUM'!$F$3:$F$4</c:f>
              <c:strCache>
                <c:ptCount val="1"/>
                <c:pt idx="0">
                  <c:v>R5</c:v>
                </c:pt>
              </c:strCache>
            </c:strRef>
          </c:tx>
          <c:spPr>
            <a:solidFill>
              <a:schemeClr val="accent5">
                <a:lumMod val="75000"/>
              </a:scheme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dk1"/>
                    </a:solidFill>
                    <a:latin typeface="+mn-lt"/>
                    <a:ea typeface="+mn-ea"/>
                    <a:cs typeface="+mn-cs"/>
                  </a:defRPr>
                </a:pPr>
                <a:endParaRPr lang="nb-N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'Korrekt inndata SUM'!$A$5:$A$7</c:f>
              <c:strCache>
                <c:ptCount val="3"/>
                <c:pt idx="0">
                  <c:v>AI m/Eks</c:v>
                </c:pt>
                <c:pt idx="1">
                  <c:v>AI u/Eks</c:v>
                </c:pt>
                <c:pt idx="2">
                  <c:v>Ekspert</c:v>
                </c:pt>
              </c:strCache>
            </c:strRef>
          </c:cat>
          <c:val>
            <c:numRef>
              <c:f>'Korrekt inndata SUM'!$F$5:$F$7</c:f>
              <c:numCache>
                <c:formatCode>General</c:formatCode>
                <c:ptCount val="3"/>
                <c:pt idx="0">
                  <c:v>4</c:v>
                </c:pt>
                <c:pt idx="1">
                  <c:v>4</c:v>
                </c:pt>
                <c:pt idx="2">
                  <c:v>4</c:v>
                </c:pt>
              </c:numCache>
            </c:numRef>
          </c:val>
          <c:extLst>
            <c:ext xmlns:c16="http://schemas.microsoft.com/office/drawing/2014/chart" uri="{C3380CC4-5D6E-409C-BE32-E72D297353CC}">
              <c16:uniqueId val="{00000003-0013-4211-BB3D-31BE090F073E}"/>
            </c:ext>
          </c:extLst>
        </c:ser>
        <c:ser>
          <c:idx val="5"/>
          <c:order val="5"/>
          <c:tx>
            <c:strRef>
              <c:f>'Korrekt inndata SUM'!$G$3:$G$4</c:f>
              <c:strCache>
                <c:ptCount val="1"/>
                <c:pt idx="0">
                  <c:v>R6</c:v>
                </c:pt>
              </c:strCache>
            </c:strRef>
          </c:tx>
          <c:spPr>
            <a:solidFill>
              <a:schemeClr val="accent6">
                <a:lumMod val="75000"/>
              </a:scheme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dk1"/>
                    </a:solidFill>
                    <a:latin typeface="+mn-lt"/>
                    <a:ea typeface="+mn-ea"/>
                    <a:cs typeface="+mn-cs"/>
                  </a:defRPr>
                </a:pPr>
                <a:endParaRPr lang="nb-N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'Korrekt inndata SUM'!$A$5:$A$7</c:f>
              <c:strCache>
                <c:ptCount val="3"/>
                <c:pt idx="0">
                  <c:v>AI m/Eks</c:v>
                </c:pt>
                <c:pt idx="1">
                  <c:v>AI u/Eks</c:v>
                </c:pt>
                <c:pt idx="2">
                  <c:v>Ekspert</c:v>
                </c:pt>
              </c:strCache>
            </c:strRef>
          </c:cat>
          <c:val>
            <c:numRef>
              <c:f>'Korrekt inndata SUM'!$G$5:$G$7</c:f>
              <c:numCache>
                <c:formatCode>General</c:formatCode>
                <c:ptCount val="3"/>
                <c:pt idx="0">
                  <c:v>3</c:v>
                </c:pt>
                <c:pt idx="1">
                  <c:v>3</c:v>
                </c:pt>
                <c:pt idx="2">
                  <c:v>4</c:v>
                </c:pt>
              </c:numCache>
            </c:numRef>
          </c:val>
          <c:extLst>
            <c:ext xmlns:c16="http://schemas.microsoft.com/office/drawing/2014/chart" uri="{C3380CC4-5D6E-409C-BE32-E72D297353CC}">
              <c16:uniqueId val="{00000004-0013-4211-BB3D-31BE090F073E}"/>
            </c:ext>
          </c:extLst>
        </c:ser>
        <c:dLbls>
          <c:dLblPos val="outEnd"/>
          <c:showLegendKey val="0"/>
          <c:showVal val="1"/>
          <c:showCatName val="0"/>
          <c:showSerName val="0"/>
          <c:showPercent val="0"/>
          <c:showBubbleSize val="0"/>
        </c:dLbls>
        <c:gapWidth val="219"/>
        <c:overlap val="-27"/>
        <c:axId val="119761199"/>
        <c:axId val="119756519"/>
      </c:barChart>
      <c:catAx>
        <c:axId val="119761199"/>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800" b="1" i="0" u="none" strike="noStrike" kern="1200" baseline="0">
                <a:solidFill>
                  <a:schemeClr val="dk1"/>
                </a:solidFill>
                <a:latin typeface="+mn-lt"/>
                <a:ea typeface="+mn-ea"/>
                <a:cs typeface="+mn-cs"/>
              </a:defRPr>
            </a:pPr>
            <a:endParaRPr lang="nb-NO"/>
          </a:p>
        </c:txPr>
        <c:crossAx val="119756519"/>
        <c:crosses val="autoZero"/>
        <c:auto val="1"/>
        <c:lblAlgn val="ctr"/>
        <c:lblOffset val="100"/>
        <c:noMultiLvlLbl val="0"/>
      </c:catAx>
      <c:valAx>
        <c:axId val="119756519"/>
        <c:scaling>
          <c:orientation val="minMax"/>
        </c:scaling>
        <c:delete val="1"/>
        <c:axPos val="l"/>
        <c:majorGridlines>
          <c:spPr>
            <a:ln w="9525" cap="flat" cmpd="sng" algn="ctr">
              <a:solidFill>
                <a:schemeClr val="tx2">
                  <a:lumMod val="50000"/>
                  <a:lumOff val="50000"/>
                </a:schemeClr>
              </a:solidFill>
              <a:round/>
            </a:ln>
            <a:effectLst/>
          </c:spPr>
        </c:majorGridlines>
        <c:numFmt formatCode="General" sourceLinked="1"/>
        <c:majorTickMark val="none"/>
        <c:minorTickMark val="none"/>
        <c:tickLblPos val="nextTo"/>
        <c:crossAx val="119761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800" b="0" i="0" u="none" strike="noStrike" kern="1200" baseline="0">
              <a:solidFill>
                <a:schemeClr val="dk1"/>
              </a:solidFill>
              <a:latin typeface="+mn-lt"/>
              <a:ea typeface="+mn-ea"/>
              <a:cs typeface="+mn-cs"/>
            </a:defRPr>
          </a:pPr>
          <a:endParaRPr lang="nb-NO"/>
        </a:p>
      </c:txPr>
    </c:legend>
    <c:plotVisOnly val="1"/>
    <c:dispBlanksAs val="gap"/>
    <c:showDLblsOverMax val="0"/>
  </c:chart>
  <c:spPr>
    <a:gradFill rotWithShape="1">
      <a:gsLst>
        <a:gs pos="0">
          <a:schemeClr val="bg2">
            <a:lumMod val="95000"/>
          </a:schemeClr>
        </a:gs>
        <a:gs pos="50000">
          <a:schemeClr val="bg2">
            <a:lumMod val="95000"/>
          </a:schemeClr>
        </a:gs>
        <a:gs pos="100000">
          <a:schemeClr val="bg2">
            <a:lumMod val="95000"/>
          </a:schemeClr>
        </a:gs>
      </a:gsLst>
      <a:lin ang="5400000" scaled="0"/>
    </a:gradFill>
    <a:ln w="6350" cap="flat" cmpd="sng" algn="ctr">
      <a:solidFill>
        <a:schemeClr val="bg2">
          <a:lumMod val="95000"/>
        </a:schemeClr>
      </a:solidFill>
      <a:prstDash val="solid"/>
      <a:miter lim="800000"/>
    </a:ln>
    <a:effectLst/>
  </c:spPr>
  <c:txPr>
    <a:bodyPr/>
    <a:lstStyle/>
    <a:p>
      <a:pPr>
        <a:defRPr>
          <a:solidFill>
            <a:schemeClr val="dk1"/>
          </a:solidFill>
          <a:latin typeface="+mn-lt"/>
          <a:ea typeface="+mn-ea"/>
          <a:cs typeface="+mn-cs"/>
        </a:defRPr>
      </a:pPr>
      <a:endParaRPr lang="nb-NO"/>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eries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b-NO"/>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'Ekspert nivå VS. tekst'!$C$22</c:f>
              <c:strCache>
                <c:ptCount val="1"/>
                <c:pt idx="0">
                  <c:v>Nivå: Teksten VS. Erfaren brannrådgiver </c:v>
                </c:pt>
              </c:strCache>
            </c:strRef>
          </c:tx>
          <c:spPr>
            <a:solidFill>
              <a:schemeClr val="accent2">
                <a:lumMod val="75000"/>
              </a:scheme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b-N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'Ekspert nivå VS. tekst'!$A$23:$A$28</c:f>
              <c:strCache>
                <c:ptCount val="6"/>
                <c:pt idx="0">
                  <c:v>R1</c:v>
                </c:pt>
                <c:pt idx="1">
                  <c:v>R2</c:v>
                </c:pt>
                <c:pt idx="2">
                  <c:v>R3</c:v>
                </c:pt>
                <c:pt idx="3">
                  <c:v>R4</c:v>
                </c:pt>
                <c:pt idx="4">
                  <c:v>R5</c:v>
                </c:pt>
                <c:pt idx="5">
                  <c:v>R6</c:v>
                </c:pt>
              </c:strCache>
            </c:strRef>
          </c:cat>
          <c:val>
            <c:numRef>
              <c:f>'Ekspert nivå VS. tekst'!$C$23:$C$28</c:f>
              <c:numCache>
                <c:formatCode>General</c:formatCode>
                <c:ptCount val="6"/>
                <c:pt idx="0">
                  <c:v>3</c:v>
                </c:pt>
                <c:pt idx="1">
                  <c:v>2</c:v>
                </c:pt>
                <c:pt idx="2">
                  <c:v>2</c:v>
                </c:pt>
                <c:pt idx="3">
                  <c:v>4</c:v>
                </c:pt>
                <c:pt idx="4">
                  <c:v>4</c:v>
                </c:pt>
                <c:pt idx="5">
                  <c:v>2</c:v>
                </c:pt>
              </c:numCache>
            </c:numRef>
          </c:val>
          <c:extLst>
            <c:ext xmlns:c16="http://schemas.microsoft.com/office/drawing/2014/chart" uri="{C3380CC4-5D6E-409C-BE32-E72D297353CC}">
              <c16:uniqueId val="{00000000-136C-49D6-AD91-63226DF0E4EF}"/>
            </c:ext>
          </c:extLst>
        </c:ser>
        <c:dLbls>
          <c:dLblPos val="outEnd"/>
          <c:showLegendKey val="0"/>
          <c:showVal val="1"/>
          <c:showCatName val="0"/>
          <c:showSerName val="0"/>
          <c:showPercent val="0"/>
          <c:showBubbleSize val="0"/>
        </c:dLbls>
        <c:gapWidth val="219"/>
        <c:overlap val="-27"/>
        <c:axId val="668052936"/>
        <c:axId val="668053656"/>
      </c:barChart>
      <c:catAx>
        <c:axId val="668052936"/>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668053656"/>
        <c:crosses val="autoZero"/>
        <c:auto val="1"/>
        <c:lblAlgn val="ctr"/>
        <c:lblOffset val="100"/>
        <c:noMultiLvlLbl val="0"/>
      </c:catAx>
      <c:valAx>
        <c:axId val="668053656"/>
        <c:scaling>
          <c:orientation val="minMax"/>
        </c:scaling>
        <c:delete val="1"/>
        <c:axPos val="l"/>
        <c:numFmt formatCode="General" sourceLinked="1"/>
        <c:majorTickMark val="none"/>
        <c:minorTickMark val="none"/>
        <c:tickLblPos val="nextTo"/>
        <c:crossAx val="668052936"/>
        <c:crosses val="autoZero"/>
        <c:crossBetween val="between"/>
      </c:valA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6350" cap="flat" cmpd="sng" algn="ctr">
          <a:solidFill>
            <a:schemeClr val="accent2"/>
          </a:solidFill>
          <a:prstDash val="solid"/>
          <a:miter lim="800000"/>
        </a:ln>
        <a:effectLst/>
      </c:spPr>
    </c:plotArea>
    <c:plotVisOnly val="1"/>
    <c:dispBlanksAs val="gap"/>
    <c:showDLblsOverMax val="0"/>
  </c:chart>
  <c:spPr>
    <a:solidFill>
      <a:schemeClr val="accent2">
        <a:lumMod val="40000"/>
        <a:lumOff val="60000"/>
      </a:schemeClr>
    </a:solidFill>
    <a:ln w="9525" cap="flat" cmpd="sng" algn="ctr">
      <a:solidFill>
        <a:schemeClr val="tx1">
          <a:lumMod val="15000"/>
          <a:lumOff val="85000"/>
        </a:schemeClr>
      </a:solidFill>
      <a:round/>
    </a:ln>
    <a:effectLst/>
  </c:spPr>
  <c:txPr>
    <a:bodyPr/>
    <a:lstStyle/>
    <a:p>
      <a:pPr>
        <a:defRPr/>
      </a:pPr>
      <a:endParaRPr lang="nb-NO"/>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b-NO"/>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'Ekspert nivå VS. tekst'!$C$31</c:f>
              <c:strCache>
                <c:ptCount val="1"/>
                <c:pt idx="0">
                  <c:v>Nivå: Teksten VS. Erfaren brannrådgiver </c:v>
                </c:pt>
              </c:strCache>
            </c:strRef>
          </c:tx>
          <c:spPr>
            <a:solidFill>
              <a:schemeClr val="accent3">
                <a:lumMod val="75000"/>
              </a:scheme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b-N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'Ekspert nivå VS. tekst'!$A$32:$A$37</c:f>
              <c:strCache>
                <c:ptCount val="6"/>
                <c:pt idx="0">
                  <c:v>R1</c:v>
                </c:pt>
                <c:pt idx="1">
                  <c:v>R2</c:v>
                </c:pt>
                <c:pt idx="2">
                  <c:v>R3</c:v>
                </c:pt>
                <c:pt idx="3">
                  <c:v>R4</c:v>
                </c:pt>
                <c:pt idx="4">
                  <c:v>R5</c:v>
                </c:pt>
                <c:pt idx="5">
                  <c:v>R6</c:v>
                </c:pt>
              </c:strCache>
            </c:strRef>
          </c:cat>
          <c:val>
            <c:numRef>
              <c:f>'Ekspert nivå VS. tekst'!$C$32:$C$37</c:f>
              <c:numCache>
                <c:formatCode>General</c:formatCode>
                <c:ptCount val="6"/>
                <c:pt idx="0">
                  <c:v>2</c:v>
                </c:pt>
                <c:pt idx="1">
                  <c:v>3</c:v>
                </c:pt>
                <c:pt idx="2">
                  <c:v>3</c:v>
                </c:pt>
                <c:pt idx="3">
                  <c:v>3</c:v>
                </c:pt>
                <c:pt idx="4">
                  <c:v>5</c:v>
                </c:pt>
                <c:pt idx="5">
                  <c:v>2</c:v>
                </c:pt>
              </c:numCache>
            </c:numRef>
          </c:val>
          <c:extLst>
            <c:ext xmlns:c16="http://schemas.microsoft.com/office/drawing/2014/chart" uri="{C3380CC4-5D6E-409C-BE32-E72D297353CC}">
              <c16:uniqueId val="{00000000-1C1B-4837-A9AC-C39C840A99E8}"/>
            </c:ext>
          </c:extLst>
        </c:ser>
        <c:dLbls>
          <c:dLblPos val="outEnd"/>
          <c:showLegendKey val="0"/>
          <c:showVal val="1"/>
          <c:showCatName val="0"/>
          <c:showSerName val="0"/>
          <c:showPercent val="0"/>
          <c:showBubbleSize val="0"/>
        </c:dLbls>
        <c:gapWidth val="219"/>
        <c:overlap val="-27"/>
        <c:axId val="79714559"/>
        <c:axId val="79713479"/>
      </c:barChart>
      <c:catAx>
        <c:axId val="79714559"/>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79713479"/>
        <c:crosses val="autoZero"/>
        <c:auto val="1"/>
        <c:lblAlgn val="ctr"/>
        <c:lblOffset val="100"/>
        <c:noMultiLvlLbl val="0"/>
      </c:catAx>
      <c:valAx>
        <c:axId val="79713479"/>
        <c:scaling>
          <c:orientation val="minMax"/>
        </c:scaling>
        <c:delete val="1"/>
        <c:axPos val="l"/>
        <c:numFmt formatCode="General" sourceLinked="1"/>
        <c:majorTickMark val="none"/>
        <c:minorTickMark val="none"/>
        <c:tickLblPos val="nextTo"/>
        <c:crossAx val="79714559"/>
        <c:crosses val="autoZero"/>
        <c:crossBetween val="between"/>
      </c:valAx>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6350" cap="flat" cmpd="sng" algn="ctr">
          <a:solidFill>
            <a:schemeClr val="accent3"/>
          </a:solidFill>
          <a:prstDash val="solid"/>
          <a:miter lim="800000"/>
        </a:ln>
        <a:effectLst/>
      </c:spPr>
    </c:plotArea>
    <c:plotVisOnly val="1"/>
    <c:dispBlanksAs val="gap"/>
    <c:showDLblsOverMax val="0"/>
  </c:chart>
  <c:spPr>
    <a:solidFill>
      <a:schemeClr val="accent3">
        <a:lumMod val="40000"/>
        <a:lumOff val="60000"/>
      </a:schemeClr>
    </a:solidFill>
    <a:ln w="9525" cap="flat" cmpd="sng" algn="ctr">
      <a:solidFill>
        <a:schemeClr val="tx1">
          <a:lumMod val="15000"/>
          <a:lumOff val="85000"/>
        </a:schemeClr>
      </a:solidFill>
      <a:round/>
    </a:ln>
    <a:effectLst/>
  </c:spPr>
  <c:txPr>
    <a:bodyPr/>
    <a:lstStyle/>
    <a:p>
      <a:pPr>
        <a:defRPr/>
      </a:pPr>
      <a:endParaRPr lang="nb-NO"/>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b-NO"/>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'Ekspert nivå VS. tekst'!$C$40</c:f>
              <c:strCache>
                <c:ptCount val="1"/>
                <c:pt idx="0">
                  <c:v>Nivå: Teksten VS. Erfaren brannrådgiver </c:v>
                </c:pt>
              </c:strCache>
            </c:strRef>
          </c:tx>
          <c:spPr>
            <a:solidFill>
              <a:schemeClr val="accent1">
                <a:lumMod val="75000"/>
              </a:scheme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b-N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'Ekspert nivå VS. tekst'!$A$41:$A$46</c:f>
              <c:strCache>
                <c:ptCount val="6"/>
                <c:pt idx="0">
                  <c:v>R1</c:v>
                </c:pt>
                <c:pt idx="1">
                  <c:v>R2</c:v>
                </c:pt>
                <c:pt idx="2">
                  <c:v>R3</c:v>
                </c:pt>
                <c:pt idx="3">
                  <c:v>R4</c:v>
                </c:pt>
                <c:pt idx="4">
                  <c:v>R5</c:v>
                </c:pt>
                <c:pt idx="5">
                  <c:v>R6</c:v>
                </c:pt>
              </c:strCache>
            </c:strRef>
          </c:cat>
          <c:val>
            <c:numRef>
              <c:f>'Ekspert nivå VS. tekst'!$C$41:$C$46</c:f>
              <c:numCache>
                <c:formatCode>General</c:formatCode>
                <c:ptCount val="6"/>
                <c:pt idx="0">
                  <c:v>4</c:v>
                </c:pt>
                <c:pt idx="1">
                  <c:v>3</c:v>
                </c:pt>
                <c:pt idx="2">
                  <c:v>2</c:v>
                </c:pt>
                <c:pt idx="3">
                  <c:v>5</c:v>
                </c:pt>
                <c:pt idx="4">
                  <c:v>4</c:v>
                </c:pt>
                <c:pt idx="5">
                  <c:v>4</c:v>
                </c:pt>
              </c:numCache>
            </c:numRef>
          </c:val>
          <c:extLst>
            <c:ext xmlns:c16="http://schemas.microsoft.com/office/drawing/2014/chart" uri="{C3380CC4-5D6E-409C-BE32-E72D297353CC}">
              <c16:uniqueId val="{00000000-9940-4814-AF80-72BA4330A5B1}"/>
            </c:ext>
          </c:extLst>
        </c:ser>
        <c:dLbls>
          <c:dLblPos val="outEnd"/>
          <c:showLegendKey val="0"/>
          <c:showVal val="1"/>
          <c:showCatName val="0"/>
          <c:showSerName val="0"/>
          <c:showPercent val="0"/>
          <c:showBubbleSize val="0"/>
        </c:dLbls>
        <c:gapWidth val="219"/>
        <c:overlap val="-27"/>
        <c:axId val="2130339608"/>
        <c:axId val="2130345728"/>
      </c:barChart>
      <c:catAx>
        <c:axId val="2130339608"/>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2130345728"/>
        <c:crosses val="autoZero"/>
        <c:auto val="1"/>
        <c:lblAlgn val="ctr"/>
        <c:lblOffset val="100"/>
        <c:noMultiLvlLbl val="0"/>
      </c:catAx>
      <c:valAx>
        <c:axId val="2130345728"/>
        <c:scaling>
          <c:orientation val="minMax"/>
        </c:scaling>
        <c:delete val="1"/>
        <c:axPos val="l"/>
        <c:numFmt formatCode="General" sourceLinked="1"/>
        <c:majorTickMark val="none"/>
        <c:minorTickMark val="none"/>
        <c:tickLblPos val="nextTo"/>
        <c:crossAx val="2130339608"/>
        <c:crosses val="autoZero"/>
        <c:crossBetween val="between"/>
      </c:valA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6350" cap="flat" cmpd="sng" algn="ctr">
          <a:solidFill>
            <a:schemeClr val="accent1"/>
          </a:solidFill>
          <a:prstDash val="solid"/>
          <a:miter lim="800000"/>
        </a:ln>
        <a:effectLst/>
      </c:spPr>
    </c:plotArea>
    <c:plotVisOnly val="1"/>
    <c:dispBlanksAs val="gap"/>
    <c:showDLblsOverMax val="0"/>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nb-NO"/>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b-NO"/>
  <c:roundedCorners val="0"/>
  <mc:AlternateContent xmlns:mc="http://schemas.openxmlformats.org/markup-compatibility/2006">
    <mc:Choice xmlns:c14="http://schemas.microsoft.com/office/drawing/2007/8/2/chart" Requires="c14">
      <c14:style val="102"/>
    </mc:Choice>
    <mc:Fallback>
      <c:style val="2"/>
    </mc:Fallback>
  </mc:AlternateContent>
  <c:pivotSource>
    <c:name>[Faglig vurdering av fraviksdokumentasjon  (Svar).xlsx]Ekspertnivå SUM!Pivottabell150</c:name>
    <c:fmtId val="0"/>
  </c:pivotSource>
  <c:chart>
    <c:autoTitleDeleted val="1"/>
    <c:pivotFmts>
      <c:pivotFmt>
        <c:idx val="0"/>
        <c:spPr>
          <a:solidFill>
            <a:schemeClr val="accent4">
              <a:lumMod val="75000"/>
            </a:schemeClr>
          </a:solidFill>
          <a:ln>
            <a:solidFill>
              <a:schemeClr val="tx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nb-N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dk1"/>
                  </a:solidFill>
                  <a:latin typeface="+mn-lt"/>
                  <a:ea typeface="+mn-ea"/>
                  <a:cs typeface="+mn-cs"/>
                </a:defRPr>
              </a:pPr>
              <a:endParaRPr lang="nb-N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lumMod val="75000"/>
            </a:schemeClr>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dk1"/>
                  </a:solidFill>
                  <a:latin typeface="+mn-lt"/>
                  <a:ea typeface="+mn-ea"/>
                  <a:cs typeface="+mn-cs"/>
                </a:defRPr>
              </a:pPr>
              <a:endParaRPr lang="nb-N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7030A0"/>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dk1"/>
                  </a:solidFill>
                  <a:latin typeface="+mn-lt"/>
                  <a:ea typeface="+mn-ea"/>
                  <a:cs typeface="+mn-cs"/>
                </a:defRPr>
              </a:pPr>
              <a:endParaRPr lang="nb-N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dk1"/>
                  </a:solidFill>
                  <a:latin typeface="+mn-lt"/>
                  <a:ea typeface="+mn-ea"/>
                  <a:cs typeface="+mn-cs"/>
                </a:defRPr>
              </a:pPr>
              <a:endParaRPr lang="nb-N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dk1"/>
                  </a:solidFill>
                  <a:latin typeface="+mn-lt"/>
                  <a:ea typeface="+mn-ea"/>
                  <a:cs typeface="+mn-cs"/>
                </a:defRPr>
              </a:pPr>
              <a:endParaRPr lang="nb-N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lumMod val="75000"/>
            </a:schemeClr>
          </a:solidFill>
          <a:ln>
            <a:solidFill>
              <a:schemeClr val="tx1"/>
            </a:solidFill>
          </a:ln>
          <a:effectLst/>
        </c:spPr>
        <c:marker>
          <c:symbol val="none"/>
        </c:marker>
        <c:dLbl>
          <c:idx val="0"/>
          <c:spPr>
            <a:noFill/>
            <a:ln>
              <a:noFill/>
            </a:ln>
            <a:effectLst/>
          </c:spPr>
          <c:txPr>
            <a:bodyPr rot="0" spcFirstLastPara="1" vertOverflow="ellipsis" vert="horz" wrap="square" anchor="ctr" anchorCtr="0"/>
            <a:lstStyle/>
            <a:p>
              <a:pPr algn="ctr">
                <a:defRPr lang="en-US" sz="1400" b="1" i="0" u="none" strike="noStrike" kern="1200" baseline="0">
                  <a:solidFill>
                    <a:schemeClr val="dk1"/>
                  </a:solidFill>
                  <a:latin typeface="+mn-lt"/>
                  <a:ea typeface="+mn-ea"/>
                  <a:cs typeface="+mn-cs"/>
                </a:defRPr>
              </a:pPr>
              <a:endParaRPr lang="nb-NO"/>
            </a:p>
          </c:txPr>
          <c:showLegendKey val="0"/>
          <c:showVal val="1"/>
          <c:showCatName val="0"/>
          <c:showSerName val="0"/>
          <c:showPercent val="1"/>
          <c:showBubbleSize val="1"/>
          <c:extLst>
            <c:ext xmlns:c15="http://schemas.microsoft.com/office/drawing/2012/chart" uri="{CE6537A1-D6FC-4f65-9D91-7224C49458BB}"/>
          </c:extLst>
        </c:dLbl>
      </c:pivotFmt>
    </c:pivotFmts>
    <c:plotArea>
      <c:layout/>
      <c:barChart>
        <c:barDir val="col"/>
        <c:grouping val="clustered"/>
        <c:varyColors val="0"/>
        <c:ser>
          <c:idx val="0"/>
          <c:order val="0"/>
          <c:tx>
            <c:strRef>
              <c:f>'Ekspertnivå SUM'!$B$3:$B$4</c:f>
              <c:strCache>
                <c:ptCount val="1"/>
                <c:pt idx="0">
                  <c:v>R1</c:v>
                </c:pt>
              </c:strCache>
            </c:strRef>
          </c:tx>
          <c:spPr>
            <a:solidFill>
              <a:schemeClr val="accent4">
                <a:lumMod val="75000"/>
              </a:schemeClr>
            </a:solidFill>
            <a:ln>
              <a:solidFill>
                <a:schemeClr val="tx1"/>
              </a:solidFill>
            </a:ln>
            <a:effectLst/>
          </c:spPr>
          <c:invertIfNegative val="0"/>
          <c:dLbls>
            <c:spPr>
              <a:noFill/>
              <a:ln>
                <a:noFill/>
              </a:ln>
              <a:effectLst/>
            </c:spPr>
            <c:txPr>
              <a:bodyPr rot="0" spcFirstLastPara="1" vertOverflow="ellipsis" vert="horz" wrap="square" anchor="ctr" anchorCtr="0"/>
              <a:lstStyle/>
              <a:p>
                <a:pPr algn="ctr">
                  <a:defRPr lang="en-US" sz="1400" b="1" i="0" u="none" strike="noStrike" kern="1200" baseline="0">
                    <a:solidFill>
                      <a:schemeClr val="dk1"/>
                    </a:solidFill>
                    <a:latin typeface="+mn-lt"/>
                    <a:ea typeface="+mn-ea"/>
                    <a:cs typeface="+mn-cs"/>
                  </a:defRPr>
                </a:pPr>
                <a:endParaRPr lang="nb-NO"/>
              </a:p>
            </c:txPr>
            <c:showLegendKey val="0"/>
            <c:showVal val="1"/>
            <c:showCatName val="0"/>
            <c:showSerName val="0"/>
            <c:showPercent val="1"/>
            <c:showBubbleSize val="1"/>
            <c:showLeaderLines val="0"/>
            <c:extLst>
              <c:ext xmlns:c15="http://schemas.microsoft.com/office/drawing/2012/chart" uri="{CE6537A1-D6FC-4f65-9D91-7224C49458BB}">
                <c15:showLeaderLines val="0"/>
              </c:ext>
            </c:extLst>
          </c:dLbls>
          <c:cat>
            <c:strRef>
              <c:f>'Ekspertnivå SUM'!$A$5:$A$7</c:f>
              <c:strCache>
                <c:ptCount val="3"/>
                <c:pt idx="0">
                  <c:v>AI m/Eks</c:v>
                </c:pt>
                <c:pt idx="1">
                  <c:v>AI u/Eks</c:v>
                </c:pt>
                <c:pt idx="2">
                  <c:v>Ekspert</c:v>
                </c:pt>
              </c:strCache>
            </c:strRef>
          </c:cat>
          <c:val>
            <c:numRef>
              <c:f>'Ekspertnivå SUM'!$B$5:$B$7</c:f>
              <c:numCache>
                <c:formatCode>General</c:formatCode>
                <c:ptCount val="3"/>
                <c:pt idx="0">
                  <c:v>3</c:v>
                </c:pt>
                <c:pt idx="1">
                  <c:v>2</c:v>
                </c:pt>
                <c:pt idx="2">
                  <c:v>4</c:v>
                </c:pt>
              </c:numCache>
            </c:numRef>
          </c:val>
          <c:extLst>
            <c:ext xmlns:c16="http://schemas.microsoft.com/office/drawing/2014/chart" uri="{C3380CC4-5D6E-409C-BE32-E72D297353CC}">
              <c16:uniqueId val="{00000000-FE1E-4FB0-B12F-0E74C0CEC49D}"/>
            </c:ext>
          </c:extLst>
        </c:ser>
        <c:ser>
          <c:idx val="1"/>
          <c:order val="1"/>
          <c:tx>
            <c:strRef>
              <c:f>'Ekspertnivå SUM'!$C$3:$C$4</c:f>
              <c:strCache>
                <c:ptCount val="1"/>
                <c:pt idx="0">
                  <c:v>R2</c:v>
                </c:pt>
              </c:strCache>
            </c:strRef>
          </c:tx>
          <c:spPr>
            <a:solidFill>
              <a:schemeClr val="accent2">
                <a:lumMod val="75000"/>
              </a:scheme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dk1"/>
                    </a:solidFill>
                    <a:latin typeface="+mn-lt"/>
                    <a:ea typeface="+mn-ea"/>
                    <a:cs typeface="+mn-cs"/>
                  </a:defRPr>
                </a:pPr>
                <a:endParaRPr lang="nb-N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'Ekspertnivå SUM'!$A$5:$A$7</c:f>
              <c:strCache>
                <c:ptCount val="3"/>
                <c:pt idx="0">
                  <c:v>AI m/Eks</c:v>
                </c:pt>
                <c:pt idx="1">
                  <c:v>AI u/Eks</c:v>
                </c:pt>
                <c:pt idx="2">
                  <c:v>Ekspert</c:v>
                </c:pt>
              </c:strCache>
            </c:strRef>
          </c:cat>
          <c:val>
            <c:numRef>
              <c:f>'Ekspertnivå SUM'!$C$5:$C$7</c:f>
              <c:numCache>
                <c:formatCode>General</c:formatCode>
                <c:ptCount val="3"/>
                <c:pt idx="0">
                  <c:v>2</c:v>
                </c:pt>
                <c:pt idx="1">
                  <c:v>3</c:v>
                </c:pt>
                <c:pt idx="2">
                  <c:v>3</c:v>
                </c:pt>
              </c:numCache>
            </c:numRef>
          </c:val>
          <c:extLst>
            <c:ext xmlns:c16="http://schemas.microsoft.com/office/drawing/2014/chart" uri="{C3380CC4-5D6E-409C-BE32-E72D297353CC}">
              <c16:uniqueId val="{00000000-CEA3-4645-8559-72B1A83CFF40}"/>
            </c:ext>
          </c:extLst>
        </c:ser>
        <c:ser>
          <c:idx val="2"/>
          <c:order val="2"/>
          <c:tx>
            <c:strRef>
              <c:f>'Ekspertnivå SUM'!$D$3:$D$4</c:f>
              <c:strCache>
                <c:ptCount val="1"/>
                <c:pt idx="0">
                  <c:v>R3</c:v>
                </c:pt>
              </c:strCache>
            </c:strRef>
          </c:tx>
          <c:spPr>
            <a:solidFill>
              <a:schemeClr val="accent3">
                <a:lumMod val="75000"/>
              </a:scheme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dk1"/>
                    </a:solidFill>
                    <a:latin typeface="+mn-lt"/>
                    <a:ea typeface="+mn-ea"/>
                    <a:cs typeface="+mn-cs"/>
                  </a:defRPr>
                </a:pPr>
                <a:endParaRPr lang="nb-N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'Ekspertnivå SUM'!$A$5:$A$7</c:f>
              <c:strCache>
                <c:ptCount val="3"/>
                <c:pt idx="0">
                  <c:v>AI m/Eks</c:v>
                </c:pt>
                <c:pt idx="1">
                  <c:v>AI u/Eks</c:v>
                </c:pt>
                <c:pt idx="2">
                  <c:v>Ekspert</c:v>
                </c:pt>
              </c:strCache>
            </c:strRef>
          </c:cat>
          <c:val>
            <c:numRef>
              <c:f>'Ekspertnivå SUM'!$D$5:$D$7</c:f>
              <c:numCache>
                <c:formatCode>General</c:formatCode>
                <c:ptCount val="3"/>
                <c:pt idx="0">
                  <c:v>2</c:v>
                </c:pt>
                <c:pt idx="1">
                  <c:v>3</c:v>
                </c:pt>
                <c:pt idx="2">
                  <c:v>2</c:v>
                </c:pt>
              </c:numCache>
            </c:numRef>
          </c:val>
          <c:extLst>
            <c:ext xmlns:c16="http://schemas.microsoft.com/office/drawing/2014/chart" uri="{C3380CC4-5D6E-409C-BE32-E72D297353CC}">
              <c16:uniqueId val="{00000001-CEA3-4645-8559-72B1A83CFF40}"/>
            </c:ext>
          </c:extLst>
        </c:ser>
        <c:ser>
          <c:idx val="3"/>
          <c:order val="3"/>
          <c:tx>
            <c:strRef>
              <c:f>'Ekspertnivå SUM'!$E$3:$E$4</c:f>
              <c:strCache>
                <c:ptCount val="1"/>
                <c:pt idx="0">
                  <c:v>R4</c:v>
                </c:pt>
              </c:strCache>
            </c:strRef>
          </c:tx>
          <c:spPr>
            <a:solidFill>
              <a:srgbClr val="7030A0"/>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dk1"/>
                    </a:solidFill>
                    <a:latin typeface="+mn-lt"/>
                    <a:ea typeface="+mn-ea"/>
                    <a:cs typeface="+mn-cs"/>
                  </a:defRPr>
                </a:pPr>
                <a:endParaRPr lang="nb-N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'Ekspertnivå SUM'!$A$5:$A$7</c:f>
              <c:strCache>
                <c:ptCount val="3"/>
                <c:pt idx="0">
                  <c:v>AI m/Eks</c:v>
                </c:pt>
                <c:pt idx="1">
                  <c:v>AI u/Eks</c:v>
                </c:pt>
                <c:pt idx="2">
                  <c:v>Ekspert</c:v>
                </c:pt>
              </c:strCache>
            </c:strRef>
          </c:cat>
          <c:val>
            <c:numRef>
              <c:f>'Ekspertnivå SUM'!$E$5:$E$7</c:f>
              <c:numCache>
                <c:formatCode>General</c:formatCode>
                <c:ptCount val="3"/>
                <c:pt idx="0">
                  <c:v>4</c:v>
                </c:pt>
                <c:pt idx="1">
                  <c:v>3</c:v>
                </c:pt>
                <c:pt idx="2">
                  <c:v>5</c:v>
                </c:pt>
              </c:numCache>
            </c:numRef>
          </c:val>
          <c:extLst>
            <c:ext xmlns:c16="http://schemas.microsoft.com/office/drawing/2014/chart" uri="{C3380CC4-5D6E-409C-BE32-E72D297353CC}">
              <c16:uniqueId val="{00000002-CEA3-4645-8559-72B1A83CFF40}"/>
            </c:ext>
          </c:extLst>
        </c:ser>
        <c:ser>
          <c:idx val="4"/>
          <c:order val="4"/>
          <c:tx>
            <c:strRef>
              <c:f>'Ekspertnivå SUM'!$F$3:$F$4</c:f>
              <c:strCache>
                <c:ptCount val="1"/>
                <c:pt idx="0">
                  <c:v>R5</c:v>
                </c:pt>
              </c:strCache>
            </c:strRef>
          </c:tx>
          <c:spPr>
            <a:solidFill>
              <a:schemeClr val="accent5">
                <a:lumMod val="75000"/>
              </a:scheme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dk1"/>
                    </a:solidFill>
                    <a:latin typeface="+mn-lt"/>
                    <a:ea typeface="+mn-ea"/>
                    <a:cs typeface="+mn-cs"/>
                  </a:defRPr>
                </a:pPr>
                <a:endParaRPr lang="nb-N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'Ekspertnivå SUM'!$A$5:$A$7</c:f>
              <c:strCache>
                <c:ptCount val="3"/>
                <c:pt idx="0">
                  <c:v>AI m/Eks</c:v>
                </c:pt>
                <c:pt idx="1">
                  <c:v>AI u/Eks</c:v>
                </c:pt>
                <c:pt idx="2">
                  <c:v>Ekspert</c:v>
                </c:pt>
              </c:strCache>
            </c:strRef>
          </c:cat>
          <c:val>
            <c:numRef>
              <c:f>'Ekspertnivå SUM'!$F$5:$F$7</c:f>
              <c:numCache>
                <c:formatCode>General</c:formatCode>
                <c:ptCount val="3"/>
                <c:pt idx="0">
                  <c:v>4</c:v>
                </c:pt>
                <c:pt idx="1">
                  <c:v>5</c:v>
                </c:pt>
                <c:pt idx="2">
                  <c:v>4</c:v>
                </c:pt>
              </c:numCache>
            </c:numRef>
          </c:val>
          <c:extLst>
            <c:ext xmlns:c16="http://schemas.microsoft.com/office/drawing/2014/chart" uri="{C3380CC4-5D6E-409C-BE32-E72D297353CC}">
              <c16:uniqueId val="{00000003-CEA3-4645-8559-72B1A83CFF40}"/>
            </c:ext>
          </c:extLst>
        </c:ser>
        <c:ser>
          <c:idx val="5"/>
          <c:order val="5"/>
          <c:tx>
            <c:strRef>
              <c:f>'Ekspertnivå SUM'!$G$3:$G$4</c:f>
              <c:strCache>
                <c:ptCount val="1"/>
                <c:pt idx="0">
                  <c:v>R6</c:v>
                </c:pt>
              </c:strCache>
            </c:strRef>
          </c:tx>
          <c:spPr>
            <a:solidFill>
              <a:schemeClr val="accent6">
                <a:lumMod val="75000"/>
              </a:scheme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dk1"/>
                    </a:solidFill>
                    <a:latin typeface="+mn-lt"/>
                    <a:ea typeface="+mn-ea"/>
                    <a:cs typeface="+mn-cs"/>
                  </a:defRPr>
                </a:pPr>
                <a:endParaRPr lang="nb-N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'Ekspertnivå SUM'!$A$5:$A$7</c:f>
              <c:strCache>
                <c:ptCount val="3"/>
                <c:pt idx="0">
                  <c:v>AI m/Eks</c:v>
                </c:pt>
                <c:pt idx="1">
                  <c:v>AI u/Eks</c:v>
                </c:pt>
                <c:pt idx="2">
                  <c:v>Ekspert</c:v>
                </c:pt>
              </c:strCache>
            </c:strRef>
          </c:cat>
          <c:val>
            <c:numRef>
              <c:f>'Ekspertnivå SUM'!$G$5:$G$7</c:f>
              <c:numCache>
                <c:formatCode>General</c:formatCode>
                <c:ptCount val="3"/>
                <c:pt idx="0">
                  <c:v>2</c:v>
                </c:pt>
                <c:pt idx="1">
                  <c:v>2</c:v>
                </c:pt>
                <c:pt idx="2">
                  <c:v>4</c:v>
                </c:pt>
              </c:numCache>
            </c:numRef>
          </c:val>
          <c:extLst>
            <c:ext xmlns:c16="http://schemas.microsoft.com/office/drawing/2014/chart" uri="{C3380CC4-5D6E-409C-BE32-E72D297353CC}">
              <c16:uniqueId val="{00000004-CEA3-4645-8559-72B1A83CFF40}"/>
            </c:ext>
          </c:extLst>
        </c:ser>
        <c:dLbls>
          <c:dLblPos val="outEnd"/>
          <c:showLegendKey val="0"/>
          <c:showVal val="1"/>
          <c:showCatName val="0"/>
          <c:showSerName val="0"/>
          <c:showPercent val="0"/>
          <c:showBubbleSize val="0"/>
        </c:dLbls>
        <c:gapWidth val="219"/>
        <c:overlap val="-27"/>
        <c:axId val="1269584248"/>
        <c:axId val="1269581368"/>
      </c:barChart>
      <c:catAx>
        <c:axId val="1269584248"/>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800" b="1" i="0" u="none" strike="noStrike" kern="1200" baseline="0">
                <a:solidFill>
                  <a:schemeClr val="dk1"/>
                </a:solidFill>
                <a:latin typeface="+mn-lt"/>
                <a:ea typeface="+mn-ea"/>
                <a:cs typeface="+mn-cs"/>
              </a:defRPr>
            </a:pPr>
            <a:endParaRPr lang="nb-NO"/>
          </a:p>
        </c:txPr>
        <c:crossAx val="1269581368"/>
        <c:crosses val="autoZero"/>
        <c:auto val="1"/>
        <c:lblAlgn val="ctr"/>
        <c:lblOffset val="100"/>
        <c:noMultiLvlLbl val="0"/>
      </c:catAx>
      <c:valAx>
        <c:axId val="1269581368"/>
        <c:scaling>
          <c:orientation val="minMax"/>
        </c:scaling>
        <c:delete val="1"/>
        <c:axPos val="l"/>
        <c:majorGridlines>
          <c:spPr>
            <a:ln w="9525" cap="flat" cmpd="sng" algn="ctr">
              <a:solidFill>
                <a:schemeClr val="tx2">
                  <a:lumMod val="50000"/>
                  <a:lumOff val="50000"/>
                </a:schemeClr>
              </a:solidFill>
              <a:round/>
            </a:ln>
            <a:effectLst/>
          </c:spPr>
        </c:majorGridlines>
        <c:numFmt formatCode="General" sourceLinked="1"/>
        <c:majorTickMark val="none"/>
        <c:minorTickMark val="none"/>
        <c:tickLblPos val="nextTo"/>
        <c:crossAx val="1269584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800" b="0" i="0" u="none" strike="noStrike" kern="1200" baseline="0">
              <a:solidFill>
                <a:schemeClr val="dk1"/>
              </a:solidFill>
              <a:latin typeface="+mn-lt"/>
              <a:ea typeface="+mn-ea"/>
              <a:cs typeface="+mn-cs"/>
            </a:defRPr>
          </a:pPr>
          <a:endParaRPr lang="nb-NO"/>
        </a:p>
      </c:txPr>
    </c:legend>
    <c:plotVisOnly val="1"/>
    <c:dispBlanksAs val="gap"/>
    <c:showDLblsOverMax val="0"/>
  </c:chart>
  <c:spPr>
    <a:gradFill rotWithShape="1">
      <a:gsLst>
        <a:gs pos="0">
          <a:schemeClr val="bg2">
            <a:lumMod val="95000"/>
          </a:schemeClr>
        </a:gs>
        <a:gs pos="50000">
          <a:schemeClr val="bg2">
            <a:lumMod val="95000"/>
          </a:schemeClr>
        </a:gs>
        <a:gs pos="100000">
          <a:schemeClr val="bg2">
            <a:lumMod val="95000"/>
          </a:schemeClr>
        </a:gs>
      </a:gsLst>
      <a:lin ang="5400000" scaled="0"/>
    </a:gradFill>
    <a:ln w="6350" cap="flat" cmpd="sng" algn="ctr">
      <a:solidFill>
        <a:schemeClr val="bg2">
          <a:lumMod val="95000"/>
        </a:schemeClr>
      </a:solidFill>
      <a:prstDash val="solid"/>
      <a:miter lim="800000"/>
    </a:ln>
    <a:effectLst/>
  </c:spPr>
  <c:txPr>
    <a:bodyPr/>
    <a:lstStyle/>
    <a:p>
      <a:pPr>
        <a:defRPr>
          <a:solidFill>
            <a:schemeClr val="dk1"/>
          </a:solidFill>
          <a:latin typeface="+mn-lt"/>
          <a:ea typeface="+mn-ea"/>
          <a:cs typeface="+mn-cs"/>
        </a:defRPr>
      </a:pPr>
      <a:endParaRPr lang="nb-NO"/>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9.xml"/></Relationships>
</file>

<file path=xl/drawings/_rels/drawing9.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2138362</xdr:colOff>
      <xdr:row>15</xdr:row>
      <xdr:rowOff>1</xdr:rowOff>
    </xdr:from>
    <xdr:to>
      <xdr:col>8</xdr:col>
      <xdr:colOff>0</xdr:colOff>
      <xdr:row>41</xdr:row>
      <xdr:rowOff>1</xdr:rowOff>
    </xdr:to>
    <xdr:graphicFrame macro="">
      <xdr:nvGraphicFramePr>
        <xdr:cNvPr id="3" name="Diagram 2">
          <a:extLst>
            <a:ext uri="{FF2B5EF4-FFF2-40B4-BE49-F238E27FC236}">
              <a16:creationId xmlns:a16="http://schemas.microsoft.com/office/drawing/2014/main" id="{7D19CEEB-E0C3-B2FE-8329-E01DB26E10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0.24185</cdr:x>
      <cdr:y>0.04072</cdr:y>
    </cdr:from>
    <cdr:to>
      <cdr:x>0.24369</cdr:x>
      <cdr:y>0.89366</cdr:y>
    </cdr:to>
    <cdr:cxnSp macro="">
      <cdr:nvCxnSpPr>
        <cdr:cNvPr id="3" name="Rett linje 2">
          <a:extLst xmlns:a="http://schemas.openxmlformats.org/drawingml/2006/main">
            <a:ext uri="{FF2B5EF4-FFF2-40B4-BE49-F238E27FC236}">
              <a16:creationId xmlns:a16="http://schemas.microsoft.com/office/drawing/2014/main" id="{6C9B8242-EF21-A4DF-A6BD-723615421D6F}"/>
            </a:ext>
          </a:extLst>
        </cdr:cNvPr>
        <cdr:cNvCxnSpPr/>
      </cdr:nvCxnSpPr>
      <cdr:spPr>
        <a:xfrm xmlns:a="http://schemas.openxmlformats.org/drawingml/2006/main" flipV="1">
          <a:off x="2509838" y="171449"/>
          <a:ext cx="19050" cy="3590925"/>
        </a:xfrm>
        <a:prstGeom xmlns:a="http://schemas.openxmlformats.org/drawingml/2006/main" prst="line">
          <a:avLst/>
        </a:prstGeom>
        <a:ln xmlns:a="http://schemas.openxmlformats.org/drawingml/2006/main">
          <a:solidFill>
            <a:schemeClr val="tx1">
              <a:lumMod val="50000"/>
              <a:lumOff val="50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0.45112</cdr:x>
      <cdr:y>0.04072</cdr:y>
    </cdr:from>
    <cdr:to>
      <cdr:x>0.45571</cdr:x>
      <cdr:y>0.89366</cdr:y>
    </cdr:to>
    <cdr:cxnSp macro="">
      <cdr:nvCxnSpPr>
        <cdr:cNvPr id="5" name="Rett linje 4">
          <a:extLst xmlns:a="http://schemas.openxmlformats.org/drawingml/2006/main">
            <a:ext uri="{FF2B5EF4-FFF2-40B4-BE49-F238E27FC236}">
              <a16:creationId xmlns:a16="http://schemas.microsoft.com/office/drawing/2014/main" id="{4888C9C6-A5CC-B6C5-C518-AA7212535D13}"/>
            </a:ext>
          </a:extLst>
        </cdr:cNvPr>
        <cdr:cNvCxnSpPr/>
      </cdr:nvCxnSpPr>
      <cdr:spPr>
        <a:xfrm xmlns:a="http://schemas.openxmlformats.org/drawingml/2006/main" flipV="1">
          <a:off x="4681538" y="171449"/>
          <a:ext cx="47625" cy="3590925"/>
        </a:xfrm>
        <a:prstGeom xmlns:a="http://schemas.openxmlformats.org/drawingml/2006/main" prst="line">
          <a:avLst/>
        </a:prstGeom>
        <a:ln xmlns:a="http://schemas.openxmlformats.org/drawingml/2006/main">
          <a:solidFill>
            <a:schemeClr val="tx1">
              <a:lumMod val="50000"/>
              <a:lumOff val="50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0.676</cdr:x>
      <cdr:y>0.03846</cdr:y>
    </cdr:from>
    <cdr:to>
      <cdr:x>0.67967</cdr:x>
      <cdr:y>0.89366</cdr:y>
    </cdr:to>
    <cdr:cxnSp macro="">
      <cdr:nvCxnSpPr>
        <cdr:cNvPr id="6" name="Rett linje 5">
          <a:extLst xmlns:a="http://schemas.openxmlformats.org/drawingml/2006/main">
            <a:ext uri="{FF2B5EF4-FFF2-40B4-BE49-F238E27FC236}">
              <a16:creationId xmlns:a16="http://schemas.microsoft.com/office/drawing/2014/main" id="{7FD601A3-9B72-451C-FF90-7487618D03D8}"/>
            </a:ext>
          </a:extLst>
        </cdr:cNvPr>
        <cdr:cNvCxnSpPr/>
      </cdr:nvCxnSpPr>
      <cdr:spPr>
        <a:xfrm xmlns:a="http://schemas.openxmlformats.org/drawingml/2006/main" flipV="1">
          <a:off x="7015163" y="161924"/>
          <a:ext cx="38100" cy="3600450"/>
        </a:xfrm>
        <a:prstGeom xmlns:a="http://schemas.openxmlformats.org/drawingml/2006/main" prst="line">
          <a:avLst/>
        </a:prstGeom>
        <a:ln xmlns:a="http://schemas.openxmlformats.org/drawingml/2006/main">
          <a:solidFill>
            <a:schemeClr val="tx1">
              <a:lumMod val="50000"/>
              <a:lumOff val="50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3.xml><?xml version="1.0" encoding="utf-8"?>
<xdr:wsDr xmlns:xdr="http://schemas.openxmlformats.org/drawingml/2006/spreadsheetDrawing" xmlns:a="http://schemas.openxmlformats.org/drawingml/2006/main">
  <xdr:twoCellAnchor>
    <xdr:from>
      <xdr:col>5</xdr:col>
      <xdr:colOff>0</xdr:colOff>
      <xdr:row>20</xdr:row>
      <xdr:rowOff>1</xdr:rowOff>
    </xdr:from>
    <xdr:to>
      <xdr:col>14</xdr:col>
      <xdr:colOff>0</xdr:colOff>
      <xdr:row>31</xdr:row>
      <xdr:rowOff>0</xdr:rowOff>
    </xdr:to>
    <xdr:graphicFrame macro="">
      <xdr:nvGraphicFramePr>
        <xdr:cNvPr id="3" name="Diagram 2">
          <a:extLst>
            <a:ext uri="{FF2B5EF4-FFF2-40B4-BE49-F238E27FC236}">
              <a16:creationId xmlns:a16="http://schemas.microsoft.com/office/drawing/2014/main" id="{84360579-7A96-055F-6941-F34F1ADCF3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xdr:colOff>
      <xdr:row>33</xdr:row>
      <xdr:rowOff>1</xdr:rowOff>
    </xdr:from>
    <xdr:to>
      <xdr:col>14</xdr:col>
      <xdr:colOff>1</xdr:colOff>
      <xdr:row>46</xdr:row>
      <xdr:rowOff>0</xdr:rowOff>
    </xdr:to>
    <xdr:graphicFrame macro="">
      <xdr:nvGraphicFramePr>
        <xdr:cNvPr id="5" name="Diagram 4">
          <a:extLst>
            <a:ext uri="{FF2B5EF4-FFF2-40B4-BE49-F238E27FC236}">
              <a16:creationId xmlns:a16="http://schemas.microsoft.com/office/drawing/2014/main" id="{8D60F70C-4918-4CD4-C6D0-7E945FB4F8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49</xdr:row>
      <xdr:rowOff>0</xdr:rowOff>
    </xdr:from>
    <xdr:to>
      <xdr:col>14</xdr:col>
      <xdr:colOff>0</xdr:colOff>
      <xdr:row>63</xdr:row>
      <xdr:rowOff>0</xdr:rowOff>
    </xdr:to>
    <xdr:graphicFrame macro="">
      <xdr:nvGraphicFramePr>
        <xdr:cNvPr id="6" name="Diagram 5">
          <a:extLst>
            <a:ext uri="{FF2B5EF4-FFF2-40B4-BE49-F238E27FC236}">
              <a16:creationId xmlns:a16="http://schemas.microsoft.com/office/drawing/2014/main" id="{6AFABE43-E1B7-3879-2841-E2B1F10D2A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10</xdr:col>
      <xdr:colOff>0</xdr:colOff>
      <xdr:row>40</xdr:row>
      <xdr:rowOff>161924</xdr:rowOff>
    </xdr:from>
    <xdr:to>
      <xdr:col>25</xdr:col>
      <xdr:colOff>0</xdr:colOff>
      <xdr:row>75</xdr:row>
      <xdr:rowOff>161924</xdr:rowOff>
    </xdr:to>
    <xdr:graphicFrame macro="">
      <xdr:nvGraphicFramePr>
        <xdr:cNvPr id="2" name="Diagram 1">
          <a:extLst>
            <a:ext uri="{FF2B5EF4-FFF2-40B4-BE49-F238E27FC236}">
              <a16:creationId xmlns:a16="http://schemas.microsoft.com/office/drawing/2014/main" id="{BA8FC59F-2870-301C-26EB-FD77501F9F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0.31952</cdr:x>
      <cdr:y>0</cdr:y>
    </cdr:from>
    <cdr:to>
      <cdr:x>0.32191</cdr:x>
      <cdr:y>0.93348</cdr:y>
    </cdr:to>
    <cdr:cxnSp macro="">
      <cdr:nvCxnSpPr>
        <cdr:cNvPr id="3" name="Rett linje 2">
          <a:extLst xmlns:a="http://schemas.openxmlformats.org/drawingml/2006/main">
            <a:ext uri="{FF2B5EF4-FFF2-40B4-BE49-F238E27FC236}">
              <a16:creationId xmlns:a16="http://schemas.microsoft.com/office/drawing/2014/main" id="{2AFC29BA-7C9F-683C-83DA-ED6AE0CC436C}"/>
            </a:ext>
          </a:extLst>
        </cdr:cNvPr>
        <cdr:cNvCxnSpPr/>
      </cdr:nvCxnSpPr>
      <cdr:spPr>
        <a:xfrm xmlns:a="http://schemas.openxmlformats.org/drawingml/2006/main" flipV="1">
          <a:off x="3819526" y="0"/>
          <a:ext cx="28575" cy="4143375"/>
        </a:xfrm>
        <a:prstGeom xmlns:a="http://schemas.openxmlformats.org/drawingml/2006/main" prst="line">
          <a:avLst/>
        </a:prstGeom>
      </cdr:spPr>
      <cdr:style>
        <a:lnRef xmlns:a="http://schemas.openxmlformats.org/drawingml/2006/main" idx="1">
          <a:schemeClr val="dk1"/>
        </a:lnRef>
        <a:fillRef xmlns:a="http://schemas.openxmlformats.org/drawingml/2006/main" idx="0">
          <a:schemeClr val="dk1"/>
        </a:fillRef>
        <a:effectRef xmlns:a="http://schemas.openxmlformats.org/drawingml/2006/main" idx="0">
          <a:schemeClr val="dk1"/>
        </a:effectRef>
        <a:fontRef xmlns:a="http://schemas.openxmlformats.org/drawingml/2006/main" idx="minor">
          <a:schemeClr val="tx1"/>
        </a:fontRef>
      </cdr:style>
    </cdr:cxnSp>
  </cdr:relSizeAnchor>
  <cdr:relSizeAnchor xmlns:cdr="http://schemas.openxmlformats.org/drawingml/2006/chartDrawing">
    <cdr:from>
      <cdr:x>0.63851</cdr:x>
      <cdr:y>0</cdr:y>
    </cdr:from>
    <cdr:to>
      <cdr:x>0.6409</cdr:x>
      <cdr:y>0.93348</cdr:y>
    </cdr:to>
    <cdr:cxnSp macro="">
      <cdr:nvCxnSpPr>
        <cdr:cNvPr id="4" name="Rett linje 3">
          <a:extLst xmlns:a="http://schemas.openxmlformats.org/drawingml/2006/main">
            <a:ext uri="{FF2B5EF4-FFF2-40B4-BE49-F238E27FC236}">
              <a16:creationId xmlns:a16="http://schemas.microsoft.com/office/drawing/2014/main" id="{2EE63BCB-06A3-4D12-E3B2-F5853D767999}"/>
            </a:ext>
          </a:extLst>
        </cdr:cNvPr>
        <cdr:cNvCxnSpPr/>
      </cdr:nvCxnSpPr>
      <cdr:spPr>
        <a:xfrm xmlns:a="http://schemas.openxmlformats.org/drawingml/2006/main" flipV="1">
          <a:off x="7632700" y="0"/>
          <a:ext cx="28575" cy="4143375"/>
        </a:xfrm>
        <a:prstGeom xmlns:a="http://schemas.openxmlformats.org/drawingml/2006/main" prst="line">
          <a:avLst/>
        </a:prstGeom>
      </cdr:spPr>
      <cdr:style>
        <a:lnRef xmlns:a="http://schemas.openxmlformats.org/drawingml/2006/main" idx="1">
          <a:schemeClr val="dk1"/>
        </a:lnRef>
        <a:fillRef xmlns:a="http://schemas.openxmlformats.org/drawingml/2006/main" idx="0">
          <a:schemeClr val="dk1"/>
        </a:fillRef>
        <a:effectRef xmlns:a="http://schemas.openxmlformats.org/drawingml/2006/main" idx="0">
          <a:schemeClr val="dk1"/>
        </a:effectRef>
        <a:fontRef xmlns:a="http://schemas.openxmlformats.org/drawingml/2006/main" idx="minor">
          <a:schemeClr val="tx1"/>
        </a:fontRef>
      </cdr:style>
    </cdr:cxnSp>
  </cdr:relSizeAnchor>
</c:userShapes>
</file>

<file path=xl/drawings/drawing6.xml><?xml version="1.0" encoding="utf-8"?>
<xdr:wsDr xmlns:xdr="http://schemas.openxmlformats.org/drawingml/2006/spreadsheetDrawing" xmlns:a="http://schemas.openxmlformats.org/drawingml/2006/main">
  <xdr:twoCellAnchor>
    <xdr:from>
      <xdr:col>8</xdr:col>
      <xdr:colOff>0</xdr:colOff>
      <xdr:row>23</xdr:row>
      <xdr:rowOff>1</xdr:rowOff>
    </xdr:from>
    <xdr:to>
      <xdr:col>16</xdr:col>
      <xdr:colOff>0</xdr:colOff>
      <xdr:row>38</xdr:row>
      <xdr:rowOff>1</xdr:rowOff>
    </xdr:to>
    <xdr:graphicFrame macro="">
      <xdr:nvGraphicFramePr>
        <xdr:cNvPr id="2" name="Diagram 1">
          <a:extLst>
            <a:ext uri="{FF2B5EF4-FFF2-40B4-BE49-F238E27FC236}">
              <a16:creationId xmlns:a16="http://schemas.microsoft.com/office/drawing/2014/main" id="{56CD269F-803A-77FE-45D7-A2E61FBD61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40</xdr:row>
      <xdr:rowOff>647699</xdr:rowOff>
    </xdr:from>
    <xdr:to>
      <xdr:col>16</xdr:col>
      <xdr:colOff>0</xdr:colOff>
      <xdr:row>56</xdr:row>
      <xdr:rowOff>161924</xdr:rowOff>
    </xdr:to>
    <xdr:graphicFrame macro="">
      <xdr:nvGraphicFramePr>
        <xdr:cNvPr id="3" name="Diagram 2">
          <a:extLst>
            <a:ext uri="{FF2B5EF4-FFF2-40B4-BE49-F238E27FC236}">
              <a16:creationId xmlns:a16="http://schemas.microsoft.com/office/drawing/2014/main" id="{145B2877-7216-7AE1-A184-7D905521FF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xdr:colOff>
      <xdr:row>61</xdr:row>
      <xdr:rowOff>1</xdr:rowOff>
    </xdr:from>
    <xdr:to>
      <xdr:col>16</xdr:col>
      <xdr:colOff>1</xdr:colOff>
      <xdr:row>79</xdr:row>
      <xdr:rowOff>1</xdr:rowOff>
    </xdr:to>
    <xdr:graphicFrame macro="">
      <xdr:nvGraphicFramePr>
        <xdr:cNvPr id="4" name="Diagram 3">
          <a:extLst>
            <a:ext uri="{FF2B5EF4-FFF2-40B4-BE49-F238E27FC236}">
              <a16:creationId xmlns:a16="http://schemas.microsoft.com/office/drawing/2014/main" id="{C0DE46DF-FE98-78A9-9CA6-BD8E8C2D3F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11</xdr:col>
      <xdr:colOff>0</xdr:colOff>
      <xdr:row>24</xdr:row>
      <xdr:rowOff>161924</xdr:rowOff>
    </xdr:from>
    <xdr:to>
      <xdr:col>26</xdr:col>
      <xdr:colOff>0</xdr:colOff>
      <xdr:row>60</xdr:row>
      <xdr:rowOff>0</xdr:rowOff>
    </xdr:to>
    <xdr:graphicFrame macro="">
      <xdr:nvGraphicFramePr>
        <xdr:cNvPr id="2" name="Diagram 1">
          <a:extLst>
            <a:ext uri="{FF2B5EF4-FFF2-40B4-BE49-F238E27FC236}">
              <a16:creationId xmlns:a16="http://schemas.microsoft.com/office/drawing/2014/main" id="{854B3E4F-5310-4686-5969-3689AC6502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0.32215</cdr:x>
      <cdr:y>2.12955E-7</cdr:y>
    </cdr:from>
    <cdr:to>
      <cdr:x>0.32466</cdr:x>
      <cdr:y>0.93306</cdr:y>
    </cdr:to>
    <cdr:cxnSp macro="">
      <cdr:nvCxnSpPr>
        <cdr:cNvPr id="3" name="Rett linje 2">
          <a:extLst xmlns:a="http://schemas.openxmlformats.org/drawingml/2006/main">
            <a:ext uri="{FF2B5EF4-FFF2-40B4-BE49-F238E27FC236}">
              <a16:creationId xmlns:a16="http://schemas.microsoft.com/office/drawing/2014/main" id="{54AC34A8-5CD8-A204-E8CC-A398CCF10E0A}"/>
            </a:ext>
          </a:extLst>
        </cdr:cNvPr>
        <cdr:cNvCxnSpPr/>
      </cdr:nvCxnSpPr>
      <cdr:spPr>
        <a:xfrm xmlns:a="http://schemas.openxmlformats.org/drawingml/2006/main" flipV="1">
          <a:off x="3657600" y="1"/>
          <a:ext cx="28575" cy="4381500"/>
        </a:xfrm>
        <a:prstGeom xmlns:a="http://schemas.openxmlformats.org/drawingml/2006/main" prst="line">
          <a:avLst/>
        </a:prstGeom>
      </cdr:spPr>
      <cdr:style>
        <a:lnRef xmlns:a="http://schemas.openxmlformats.org/drawingml/2006/main" idx="1">
          <a:schemeClr val="dk1"/>
        </a:lnRef>
        <a:fillRef xmlns:a="http://schemas.openxmlformats.org/drawingml/2006/main" idx="0">
          <a:schemeClr val="dk1"/>
        </a:fillRef>
        <a:effectRef xmlns:a="http://schemas.openxmlformats.org/drawingml/2006/main" idx="0">
          <a:schemeClr val="dk1"/>
        </a:effectRef>
        <a:fontRef xmlns:a="http://schemas.openxmlformats.org/drawingml/2006/main" idx="minor">
          <a:schemeClr val="tx1"/>
        </a:fontRef>
      </cdr:style>
    </cdr:cxnSp>
  </cdr:relSizeAnchor>
  <cdr:relSizeAnchor xmlns:cdr="http://schemas.openxmlformats.org/drawingml/2006/chartDrawing">
    <cdr:from>
      <cdr:x>0.63451</cdr:x>
      <cdr:y>0</cdr:y>
    </cdr:from>
    <cdr:to>
      <cdr:x>0.63702</cdr:x>
      <cdr:y>0.93306</cdr:y>
    </cdr:to>
    <cdr:cxnSp macro="">
      <cdr:nvCxnSpPr>
        <cdr:cNvPr id="4" name="Rett linje 3">
          <a:extLst xmlns:a="http://schemas.openxmlformats.org/drawingml/2006/main">
            <a:ext uri="{FF2B5EF4-FFF2-40B4-BE49-F238E27FC236}">
              <a16:creationId xmlns:a16="http://schemas.microsoft.com/office/drawing/2014/main" id="{67D22135-45E2-87B5-57DD-DC46894181D1}"/>
            </a:ext>
          </a:extLst>
        </cdr:cNvPr>
        <cdr:cNvCxnSpPr/>
      </cdr:nvCxnSpPr>
      <cdr:spPr>
        <a:xfrm xmlns:a="http://schemas.openxmlformats.org/drawingml/2006/main" flipV="1">
          <a:off x="7204075" y="0"/>
          <a:ext cx="28575" cy="4381500"/>
        </a:xfrm>
        <a:prstGeom xmlns:a="http://schemas.openxmlformats.org/drawingml/2006/main" prst="line">
          <a:avLst/>
        </a:prstGeom>
      </cdr:spPr>
      <cdr:style>
        <a:lnRef xmlns:a="http://schemas.openxmlformats.org/drawingml/2006/main" idx="1">
          <a:schemeClr val="dk1"/>
        </a:lnRef>
        <a:fillRef xmlns:a="http://schemas.openxmlformats.org/drawingml/2006/main" idx="0">
          <a:schemeClr val="dk1"/>
        </a:fillRef>
        <a:effectRef xmlns:a="http://schemas.openxmlformats.org/drawingml/2006/main" idx="0">
          <a:schemeClr val="dk1"/>
        </a:effectRef>
        <a:fontRef xmlns:a="http://schemas.openxmlformats.org/drawingml/2006/main" idx="minor">
          <a:schemeClr val="tx1"/>
        </a:fontRef>
      </cdr:style>
    </cdr:cxnSp>
  </cdr:relSizeAnchor>
</c:userShapes>
</file>

<file path=xl/drawings/drawing9.xml><?xml version="1.0" encoding="utf-8"?>
<xdr:wsDr xmlns:xdr="http://schemas.openxmlformats.org/drawingml/2006/spreadsheetDrawing" xmlns:a="http://schemas.openxmlformats.org/drawingml/2006/main">
  <xdr:twoCellAnchor>
    <xdr:from>
      <xdr:col>8</xdr:col>
      <xdr:colOff>0</xdr:colOff>
      <xdr:row>20</xdr:row>
      <xdr:rowOff>0</xdr:rowOff>
    </xdr:from>
    <xdr:to>
      <xdr:col>16</xdr:col>
      <xdr:colOff>0</xdr:colOff>
      <xdr:row>36</xdr:row>
      <xdr:rowOff>0</xdr:rowOff>
    </xdr:to>
    <xdr:graphicFrame macro="">
      <xdr:nvGraphicFramePr>
        <xdr:cNvPr id="2" name="Diagram 1">
          <a:extLst>
            <a:ext uri="{FF2B5EF4-FFF2-40B4-BE49-F238E27FC236}">
              <a16:creationId xmlns:a16="http://schemas.microsoft.com/office/drawing/2014/main" id="{EB44EC88-83E3-16A5-5AF7-16343D6328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41</xdr:row>
      <xdr:rowOff>0</xdr:rowOff>
    </xdr:from>
    <xdr:to>
      <xdr:col>16</xdr:col>
      <xdr:colOff>0</xdr:colOff>
      <xdr:row>55</xdr:row>
      <xdr:rowOff>161924</xdr:rowOff>
    </xdr:to>
    <xdr:graphicFrame macro="">
      <xdr:nvGraphicFramePr>
        <xdr:cNvPr id="3" name="Diagram 2">
          <a:extLst>
            <a:ext uri="{FF2B5EF4-FFF2-40B4-BE49-F238E27FC236}">
              <a16:creationId xmlns:a16="http://schemas.microsoft.com/office/drawing/2014/main" id="{F25B0293-2252-6BA5-2711-C056325B43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0</xdr:colOff>
      <xdr:row>60</xdr:row>
      <xdr:rowOff>0</xdr:rowOff>
    </xdr:from>
    <xdr:to>
      <xdr:col>16</xdr:col>
      <xdr:colOff>0</xdr:colOff>
      <xdr:row>77</xdr:row>
      <xdr:rowOff>0</xdr:rowOff>
    </xdr:to>
    <xdr:graphicFrame macro="">
      <xdr:nvGraphicFramePr>
        <xdr:cNvPr id="4" name="Diagram 3">
          <a:extLst>
            <a:ext uri="{FF2B5EF4-FFF2-40B4-BE49-F238E27FC236}">
              <a16:creationId xmlns:a16="http://schemas.microsoft.com/office/drawing/2014/main" id="{A6B47B44-C646-4E49-C8A5-860D489DE1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7</xdr:col>
      <xdr:colOff>619125</xdr:colOff>
      <xdr:row>25</xdr:row>
      <xdr:rowOff>38100</xdr:rowOff>
    </xdr:from>
    <xdr:to>
      <xdr:col>23</xdr:col>
      <xdr:colOff>0</xdr:colOff>
      <xdr:row>60</xdr:row>
      <xdr:rowOff>0</xdr:rowOff>
    </xdr:to>
    <xdr:graphicFrame macro="">
      <xdr:nvGraphicFramePr>
        <xdr:cNvPr id="2" name="Diagram 1">
          <a:extLst>
            <a:ext uri="{FF2B5EF4-FFF2-40B4-BE49-F238E27FC236}">
              <a16:creationId xmlns:a16="http://schemas.microsoft.com/office/drawing/2014/main" id="{86F7F4CA-292A-79FC-F004-493384B633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c:userShapes xmlns:c="http://schemas.openxmlformats.org/drawingml/2006/chart">
  <cdr:relSizeAnchor xmlns:cdr="http://schemas.openxmlformats.org/drawingml/2006/chartDrawing">
    <cdr:from>
      <cdr:x>0.31848</cdr:x>
      <cdr:y>0.0022</cdr:y>
    </cdr:from>
    <cdr:to>
      <cdr:x>0.32038</cdr:x>
      <cdr:y>0.92967</cdr:y>
    </cdr:to>
    <cdr:cxnSp macro="">
      <cdr:nvCxnSpPr>
        <cdr:cNvPr id="3" name="Rett linje 2">
          <a:extLst xmlns:a="http://schemas.openxmlformats.org/drawingml/2006/main">
            <a:ext uri="{FF2B5EF4-FFF2-40B4-BE49-F238E27FC236}">
              <a16:creationId xmlns:a16="http://schemas.microsoft.com/office/drawing/2014/main" id="{C8A845D8-40C8-9EED-5D53-6F1CD8FB4DB1}"/>
            </a:ext>
          </a:extLst>
        </cdr:cNvPr>
        <cdr:cNvCxnSpPr/>
      </cdr:nvCxnSpPr>
      <cdr:spPr>
        <a:xfrm xmlns:a="http://schemas.openxmlformats.org/drawingml/2006/main" flipV="1">
          <a:off x="3200400" y="9525"/>
          <a:ext cx="19050" cy="4019550"/>
        </a:xfrm>
        <a:prstGeom xmlns:a="http://schemas.openxmlformats.org/drawingml/2006/main" prst="line">
          <a:avLst/>
        </a:prstGeom>
      </cdr:spPr>
      <cdr:style>
        <a:lnRef xmlns:a="http://schemas.openxmlformats.org/drawingml/2006/main" idx="1">
          <a:schemeClr val="dk1"/>
        </a:lnRef>
        <a:fillRef xmlns:a="http://schemas.openxmlformats.org/drawingml/2006/main" idx="0">
          <a:schemeClr val="dk1"/>
        </a:fillRef>
        <a:effectRef xmlns:a="http://schemas.openxmlformats.org/drawingml/2006/main" idx="0">
          <a:schemeClr val="dk1"/>
        </a:effectRef>
        <a:fontRef xmlns:a="http://schemas.openxmlformats.org/drawingml/2006/main" idx="minor">
          <a:schemeClr val="tx1"/>
        </a:fontRef>
      </cdr:style>
    </cdr:cxnSp>
  </cdr:relSizeAnchor>
  <cdr:relSizeAnchor xmlns:cdr="http://schemas.openxmlformats.org/drawingml/2006/chartDrawing">
    <cdr:from>
      <cdr:x>0.63065</cdr:x>
      <cdr:y>0</cdr:y>
    </cdr:from>
    <cdr:to>
      <cdr:x>0.63254</cdr:x>
      <cdr:y>0.92747</cdr:y>
    </cdr:to>
    <cdr:cxnSp macro="">
      <cdr:nvCxnSpPr>
        <cdr:cNvPr id="4" name="Rett linje 3">
          <a:extLst xmlns:a="http://schemas.openxmlformats.org/drawingml/2006/main">
            <a:ext uri="{FF2B5EF4-FFF2-40B4-BE49-F238E27FC236}">
              <a16:creationId xmlns:a16="http://schemas.microsoft.com/office/drawing/2014/main" id="{E68B2E70-A207-5508-59D5-4C8A2F9E1925}"/>
            </a:ext>
          </a:extLst>
        </cdr:cNvPr>
        <cdr:cNvCxnSpPr/>
      </cdr:nvCxnSpPr>
      <cdr:spPr>
        <a:xfrm xmlns:a="http://schemas.openxmlformats.org/drawingml/2006/main" flipV="1">
          <a:off x="6337300" y="0"/>
          <a:ext cx="19050" cy="4019550"/>
        </a:xfrm>
        <a:prstGeom xmlns:a="http://schemas.openxmlformats.org/drawingml/2006/main" prst="line">
          <a:avLst/>
        </a:prstGeom>
      </cdr:spPr>
      <cdr:style>
        <a:lnRef xmlns:a="http://schemas.openxmlformats.org/drawingml/2006/main" idx="1">
          <a:schemeClr val="dk1"/>
        </a:lnRef>
        <a:fillRef xmlns:a="http://schemas.openxmlformats.org/drawingml/2006/main" idx="0">
          <a:schemeClr val="dk1"/>
        </a:fillRef>
        <a:effectRef xmlns:a="http://schemas.openxmlformats.org/drawingml/2006/main" idx="0">
          <a:schemeClr val="dk1"/>
        </a:effectRef>
        <a:fontRef xmlns:a="http://schemas.openxmlformats.org/drawingml/2006/main" idx="minor">
          <a:schemeClr val="tx1"/>
        </a:fontRef>
      </cdr:style>
    </cdr:cxnSp>
  </cdr:relSizeAnchor>
</c:userShapes>
</file>

<file path=xl/drawings/drawing12.xml><?xml version="1.0" encoding="utf-8"?>
<xdr:wsDr xmlns:xdr="http://schemas.openxmlformats.org/drawingml/2006/spreadsheetDrawing" xmlns:a="http://schemas.openxmlformats.org/drawingml/2006/main">
  <xdr:twoCellAnchor editAs="oneCell">
    <xdr:from>
      <xdr:col>1</xdr:col>
      <xdr:colOff>1</xdr:colOff>
      <xdr:row>46</xdr:row>
      <xdr:rowOff>76201</xdr:rowOff>
    </xdr:from>
    <xdr:to>
      <xdr:col>5</xdr:col>
      <xdr:colOff>0</xdr:colOff>
      <xdr:row>67</xdr:row>
      <xdr:rowOff>0</xdr:rowOff>
    </xdr:to>
    <xdr:pic>
      <xdr:nvPicPr>
        <xdr:cNvPr id="5" name="Bilde 4" descr="Diagram over skjemasvar. Tittel på spørsmål: Hvor mye etterarbeid krever teksten før den kan brukes i et reelt prosjekt?  . Antall svar: 18 svar.">
          <a:extLst>
            <a:ext uri="{FF2B5EF4-FFF2-40B4-BE49-F238E27FC236}">
              <a16:creationId xmlns:a16="http://schemas.microsoft.com/office/drawing/2014/main" id="{9A4FB9A4-9202-040F-F977-5C3FAFBAD4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73680" y="12268201"/>
          <a:ext cx="10014856" cy="42100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23</xdr:row>
      <xdr:rowOff>0</xdr:rowOff>
    </xdr:from>
    <xdr:to>
      <xdr:col>5</xdr:col>
      <xdr:colOff>0</xdr:colOff>
      <xdr:row>45</xdr:row>
      <xdr:rowOff>0</xdr:rowOff>
    </xdr:to>
    <xdr:pic>
      <xdr:nvPicPr>
        <xdr:cNvPr id="6" name="Bilde 5" descr="Diagram over skjemasvar. Tittel på spørsmål: Hvor godt tilsvarer teksten nivået en erfaren brannrådgiver ville skrevet?  . Antall svar: 18 svar.">
          <a:extLst>
            <a:ext uri="{FF2B5EF4-FFF2-40B4-BE49-F238E27FC236}">
              <a16:creationId xmlns:a16="http://schemas.microsoft.com/office/drawing/2014/main" id="{908C4004-1461-4023-C0C3-7D5C62D3BAD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73679" y="7497536"/>
          <a:ext cx="10014857" cy="44903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870857</xdr:colOff>
      <xdr:row>22</xdr:row>
      <xdr:rowOff>0</xdr:rowOff>
    </xdr:from>
    <xdr:to>
      <xdr:col>11</xdr:col>
      <xdr:colOff>0</xdr:colOff>
      <xdr:row>47</xdr:row>
      <xdr:rowOff>0</xdr:rowOff>
    </xdr:to>
    <xdr:pic>
      <xdr:nvPicPr>
        <xdr:cNvPr id="7" name="Bilde 6" descr="Diagram over skjemasvar. Tittel på spørsmål: I hvilken grad er teksten tilpasset de konkrete inndata for dette caset, eller fremstår den som generisk mal-tekst? Med «generisk» menes tekst som kunne passet ethvert fraviksdokument uten endringer – den bruker ikke de konkrete tallene, bygningstypen eller fravikets art fra inndata.. Antall svar: 18 svar.">
          <a:extLst>
            <a:ext uri="{FF2B5EF4-FFF2-40B4-BE49-F238E27FC236}">
              <a16:creationId xmlns:a16="http://schemas.microsoft.com/office/drawing/2014/main" id="{0BA8F3C8-E900-2122-6AD9-235466BEEFC1}"/>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2559393" y="7293429"/>
          <a:ext cx="10395857" cy="51026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hmad Rezaie" refreshedDate="46150.814002083331" createdVersion="8" refreshedVersion="8" minRefreshableVersion="3" recordCount="18" xr:uid="{684F1FAA-33A9-42C7-BF4D-BEE6C686F593}">
  <cacheSource type="worksheet">
    <worksheetSource ref="A50:C68" sheet="Faglig"/>
  </cacheSource>
  <cacheFields count="3">
    <cacheField name="Rådgiver" numFmtId="0">
      <sharedItems count="6">
        <s v="R1"/>
        <s v="R2"/>
        <s v="R3"/>
        <s v="R4"/>
        <s v="R5"/>
        <s v="R6"/>
      </sharedItems>
    </cacheField>
    <cacheField name="Tekster" numFmtId="0">
      <sharedItems count="3">
        <s v="Ekspert"/>
        <s v="AI m/Eks"/>
        <s v="AI u/Eks"/>
      </sharedItems>
    </cacheField>
    <cacheField name="Faglig korrekt og forankret i henhold til TEK17, VTEK17 og NS 3901" numFmtId="0">
      <sharedItems containsSemiMixedTypes="0" containsString="0" containsNumber="1" containsInteger="1" minValue="1" maxValue="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hmad Rezaie" refreshedDate="46150.824014814818" createdVersion="8" refreshedVersion="8" minRefreshableVersion="3" recordCount="18" xr:uid="{C277A866-AD46-45E2-BCD4-C894D6D25FE4}">
  <cacheSource type="worksheet">
    <worksheetSource name="Tabkorrektdata"/>
  </cacheSource>
  <cacheFields count="3">
    <cacheField name="Rådgiver" numFmtId="0">
      <sharedItems count="6">
        <s v="R1"/>
        <s v="R2"/>
        <s v="R3"/>
        <s v="R4"/>
        <s v="R5"/>
        <s v="R6"/>
      </sharedItems>
    </cacheField>
    <cacheField name="Tekster" numFmtId="0">
      <sharedItems count="3">
        <s v="Ekspert"/>
        <s v="AI m/Eks"/>
        <s v="AI u/Eks"/>
      </sharedItems>
    </cacheField>
    <cacheField name="Korrekt inndata / generisk tekst" numFmtId="0">
      <sharedItems containsSemiMixedTypes="0" containsString="0" containsNumber="1" containsInteger="1" minValue="2" maxValue="5"/>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hmad Rezaie" refreshedDate="46150.835968287036" createdVersion="8" refreshedVersion="8" minRefreshableVersion="3" recordCount="18" xr:uid="{29A3AFE3-C7CA-48C3-9020-B9AAE94A6E12}">
  <cacheSource type="worksheet">
    <worksheetSource name="Tabnivåekspert"/>
  </cacheSource>
  <cacheFields count="3">
    <cacheField name="Rådgiver" numFmtId="0">
      <sharedItems count="6">
        <s v="R1"/>
        <s v="R2"/>
        <s v="R3"/>
        <s v="R4"/>
        <s v="R5"/>
        <s v="R6"/>
      </sharedItems>
    </cacheField>
    <cacheField name="Tekster" numFmtId="0">
      <sharedItems count="3">
        <s v="Ekspert"/>
        <s v="AI m/Eks"/>
        <s v="AI u/Eks"/>
      </sharedItems>
    </cacheField>
    <cacheField name="Nivå: Teksten VS. Erfaren brannrådgiver " numFmtId="0">
      <sharedItems containsSemiMixedTypes="0" containsString="0" containsNumber="1" containsInteger="1" minValue="2" maxValue="5"/>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hmad Rezaie" refreshedDate="46151.831810763892" createdVersion="8" refreshedVersion="8" minRefreshableVersion="3" recordCount="18" xr:uid="{79BA7BB5-2361-44DE-A774-2E4F8DCC3739}">
  <cacheSource type="worksheet">
    <worksheetSource name="TabMain"/>
  </cacheSource>
  <cacheFields count="14">
    <cacheField name="Tidsmerke" numFmtId="14">
      <sharedItems containsSemiMixedTypes="0" containsNonDate="0" containsDate="1" containsString="0" minDate="2026-04-22T15:54:58" maxDate="2026-04-30T12:56:41"/>
    </cacheField>
    <cacheField name="Rådgiver" numFmtId="0">
      <sharedItems/>
    </cacheField>
    <cacheField name="Tekster" numFmtId="0">
      <sharedItems count="3">
        <s v="Ekspert"/>
        <s v="AI m/Eks"/>
        <s v="AI u/Eks"/>
      </sharedItems>
    </cacheField>
    <cacheField name="Case " numFmtId="0">
      <sharedItems containsSemiMixedTypes="0" containsString="0" containsNumber="1" containsInteger="1" minValue="1" maxValue="3"/>
    </cacheField>
    <cacheField name="Tekst navn" numFmtId="0">
      <sharedItems/>
    </cacheField>
    <cacheField name="Faglig korrekt og forankret i henhold til TEK17, VTEK17 og NS 3901" numFmtId="0">
      <sharedItems containsSemiMixedTypes="0" containsString="0" containsNumber="1" containsInteger="1" minValue="1" maxValue="5"/>
    </cacheField>
    <cacheField name="Begrunnelse: STYRKE/SVAKHET_x000a_" numFmtId="0">
      <sharedItems longText="1"/>
    </cacheField>
    <cacheField name="Korrekt inndata / generisk tekst" numFmtId="0">
      <sharedItems containsSemiMixedTypes="0" containsString="0" containsNumber="1" containsInteger="1" minValue="2" maxValue="5"/>
    </cacheField>
    <cacheField name="Begrunnelse: Prosjektspesifikt og hva fremstår generisk" numFmtId="0">
      <sharedItems longText="1"/>
    </cacheField>
    <cacheField name="Nivå: Teksten VS. Erfaren brannrådgiver " numFmtId="0">
      <sharedItems containsSemiMixedTypes="0" containsString="0" containsNumber="1" containsInteger="1" minValue="2" maxValue="5"/>
    </cacheField>
    <cacheField name="Etterarbeid til reelt prosjekt" numFmtId="0">
      <sharedItems count="4">
        <s v="Mer enn 60 minutter"/>
        <s v="30–60 minutter"/>
        <s v="15–30 minutter"/>
        <s v="Under 15 minutter"/>
      </sharedItems>
    </cacheField>
    <cacheField name="Etterarbeid til reelt prosjekt2" numFmtId="0">
      <sharedItems count="4">
        <s v="Mer enn 60 minutter"/>
        <s v="30–60 minutter"/>
        <s v="15–30 minutter"/>
        <s v="Under 15 minutter"/>
      </sharedItems>
    </cacheField>
    <cacheField name="Etterarbeid til reelt prosjekt22" numFmtId="0">
      <sharedItems count="4">
        <s v="Mer enn 60 minutter"/>
        <s v="30–60 minutter"/>
        <s v="15–30 minutter"/>
        <s v="Under 15 minutter"/>
      </sharedItems>
    </cacheField>
    <cacheField name="totalsum etterarbeid" numFmtId="0" formula=" 0" databaseField="0"/>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
  <r>
    <x v="0"/>
    <x v="0"/>
    <n v="3"/>
  </r>
  <r>
    <x v="0"/>
    <x v="1"/>
    <n v="3"/>
  </r>
  <r>
    <x v="0"/>
    <x v="2"/>
    <n v="1"/>
  </r>
  <r>
    <x v="1"/>
    <x v="1"/>
    <n v="2"/>
  </r>
  <r>
    <x v="1"/>
    <x v="2"/>
    <n v="2"/>
  </r>
  <r>
    <x v="1"/>
    <x v="0"/>
    <n v="2"/>
  </r>
  <r>
    <x v="2"/>
    <x v="2"/>
    <n v="3"/>
  </r>
  <r>
    <x v="2"/>
    <x v="0"/>
    <n v="3"/>
  </r>
  <r>
    <x v="2"/>
    <x v="1"/>
    <n v="2"/>
  </r>
  <r>
    <x v="3"/>
    <x v="2"/>
    <n v="3"/>
  </r>
  <r>
    <x v="3"/>
    <x v="1"/>
    <n v="4"/>
  </r>
  <r>
    <x v="3"/>
    <x v="0"/>
    <n v="5"/>
  </r>
  <r>
    <x v="4"/>
    <x v="0"/>
    <n v="4"/>
  </r>
  <r>
    <x v="4"/>
    <x v="2"/>
    <n v="4"/>
  </r>
  <r>
    <x v="4"/>
    <x v="1"/>
    <n v="4"/>
  </r>
  <r>
    <x v="5"/>
    <x v="1"/>
    <n v="2"/>
  </r>
  <r>
    <x v="5"/>
    <x v="0"/>
    <n v="4"/>
  </r>
  <r>
    <x v="5"/>
    <x v="2"/>
    <n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
  <r>
    <x v="0"/>
    <x v="0"/>
    <n v="5"/>
  </r>
  <r>
    <x v="0"/>
    <x v="1"/>
    <n v="4"/>
  </r>
  <r>
    <x v="0"/>
    <x v="2"/>
    <n v="4"/>
  </r>
  <r>
    <x v="1"/>
    <x v="1"/>
    <n v="2"/>
  </r>
  <r>
    <x v="1"/>
    <x v="2"/>
    <n v="3"/>
  </r>
  <r>
    <x v="1"/>
    <x v="0"/>
    <n v="2"/>
  </r>
  <r>
    <x v="2"/>
    <x v="2"/>
    <n v="3"/>
  </r>
  <r>
    <x v="2"/>
    <x v="0"/>
    <n v="2"/>
  </r>
  <r>
    <x v="2"/>
    <x v="1"/>
    <n v="2"/>
  </r>
  <r>
    <x v="3"/>
    <x v="2"/>
    <n v="3"/>
  </r>
  <r>
    <x v="3"/>
    <x v="1"/>
    <n v="4"/>
  </r>
  <r>
    <x v="3"/>
    <x v="0"/>
    <n v="5"/>
  </r>
  <r>
    <x v="4"/>
    <x v="0"/>
    <n v="4"/>
  </r>
  <r>
    <x v="4"/>
    <x v="2"/>
    <n v="4"/>
  </r>
  <r>
    <x v="4"/>
    <x v="1"/>
    <n v="4"/>
  </r>
  <r>
    <x v="5"/>
    <x v="1"/>
    <n v="3"/>
  </r>
  <r>
    <x v="5"/>
    <x v="0"/>
    <n v="4"/>
  </r>
  <r>
    <x v="5"/>
    <x v="2"/>
    <n v="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
  <r>
    <x v="0"/>
    <x v="0"/>
    <n v="4"/>
  </r>
  <r>
    <x v="0"/>
    <x v="1"/>
    <n v="3"/>
  </r>
  <r>
    <x v="0"/>
    <x v="2"/>
    <n v="2"/>
  </r>
  <r>
    <x v="1"/>
    <x v="1"/>
    <n v="2"/>
  </r>
  <r>
    <x v="1"/>
    <x v="2"/>
    <n v="3"/>
  </r>
  <r>
    <x v="1"/>
    <x v="0"/>
    <n v="3"/>
  </r>
  <r>
    <x v="2"/>
    <x v="2"/>
    <n v="3"/>
  </r>
  <r>
    <x v="2"/>
    <x v="0"/>
    <n v="2"/>
  </r>
  <r>
    <x v="2"/>
    <x v="1"/>
    <n v="2"/>
  </r>
  <r>
    <x v="3"/>
    <x v="2"/>
    <n v="3"/>
  </r>
  <r>
    <x v="3"/>
    <x v="1"/>
    <n v="4"/>
  </r>
  <r>
    <x v="3"/>
    <x v="0"/>
    <n v="5"/>
  </r>
  <r>
    <x v="4"/>
    <x v="0"/>
    <n v="4"/>
  </r>
  <r>
    <x v="4"/>
    <x v="2"/>
    <n v="5"/>
  </r>
  <r>
    <x v="4"/>
    <x v="1"/>
    <n v="4"/>
  </r>
  <r>
    <x v="5"/>
    <x v="1"/>
    <n v="2"/>
  </r>
  <r>
    <x v="5"/>
    <x v="0"/>
    <n v="4"/>
  </r>
  <r>
    <x v="5"/>
    <x v="2"/>
    <n v="2"/>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
  <r>
    <d v="2026-04-28T15:24:04"/>
    <s v="R1"/>
    <x v="0"/>
    <n v="1"/>
    <s v="Tekst_A_Rådgiver1"/>
    <n v="3"/>
    <s v="Det er relevante forhold knyttet til rømning, redning og tapspotensiale som sammenlignes. Gunstige forhold i analysebyggverket, som beskrevet, er relevante. Feil: Det er ikke samsvar mellom antall fravik i kap. 3.2 og 3.4. Svakheter ift NS 3901: Analysen tar bare for seg Brannscenario 1. KOnsekvenser ved scenario 2 og 4 burde vært tatt med. Det er ikke beskrevet hvordan fravikene innvirker på hverandre, om de eventuelt forsterker hverandre."/>
    <n v="5"/>
    <s v="Det meste fremstår prosjektspesifikt."/>
    <n v="4"/>
    <x v="0"/>
    <x v="0"/>
    <x v="0"/>
  </r>
  <r>
    <d v="2026-04-28T15:40:05"/>
    <s v="R1"/>
    <x v="1"/>
    <n v="1"/>
    <s v="Tekst_B_Rådgiver1"/>
    <n v="3"/>
    <s v="Analysene av analysebyggverk og referansebyggverk er hver for seg ok. I sammenligningen mht verdisikkerhet er det ikke riktig at analysebyggverket har liten grunnflate eller at det nødvendigvis er vanskeligere å få kontroll på brann i et 2-etasjes bygg. Trapperom kan være gode angrepsveier, og hver avdeling er preakseptert inndelt i egne brannceller i begge bygg. Scenario 2 og 4 burde vært medtatt i konsekvensanalysen. "/>
    <n v="4"/>
    <s v="Beskrivelser av analysebygg vs referansebygg ser ut til å stemme med inndata. Siste avsnitt i sammenligningen virker som generisk, fremstår som en påstand."/>
    <n v="3"/>
    <x v="0"/>
    <x v="0"/>
    <x v="0"/>
  </r>
  <r>
    <d v="2026-04-28T15:55:02"/>
    <s v="R1"/>
    <x v="2"/>
    <n v="1"/>
    <s v="Tekst_C_Rådgiver1"/>
    <n v="1"/>
    <s v="Teksten tar ikke for seg konsekvenser for personsikkerhet/rømning eller tapspotensiale mht barn som kan miste barnehageplass. At krav i TEK er oppfylt fremstår som påstand uten begrunnelse."/>
    <n v="4"/>
    <s v="Beskrivelser av faktiske forhold knyttet til hhv analysebygg og referanse bygg er OK.  To hydrantpunkter og en brannkum ser ut til å stemme."/>
    <n v="2"/>
    <x v="0"/>
    <x v="0"/>
    <x v="0"/>
  </r>
  <r>
    <d v="2026-04-30T00:42:25"/>
    <s v="R2"/>
    <x v="1"/>
    <n v="2"/>
    <s v="Tekst_A_Rådgiver2"/>
    <n v="2"/>
    <s v="Fremgangsmåten ser bra ut men det faller fra hverandre med skrivefeil og faktafeil. Det står at rømningskorridoren vil motta tidlig varsling. Rømningskorridoren er uansett ikke problemet med fraviket. Det står at økt volum gir økt tid til overtenning, og at brannvesenet slipper søke gjennom mange rom. Det er like mange rom selv om det ikke er delt inn i branneller. Argument om økt romvolum og færre rom å søke i blir feil."/>
    <n v="2"/>
    <s v="Det står at samlet branncelle har færre dører enn referansebyggverket, feil."/>
    <n v="2"/>
    <x v="1"/>
    <x v="1"/>
    <x v="1"/>
  </r>
  <r>
    <d v="2026-04-30T00:53:31"/>
    <s v="R2"/>
    <x v="2"/>
    <n v="2"/>
    <s v="Tekst_B_Rådgiver2"/>
    <n v="2"/>
    <s v="dårlig språk om brannbleastning og slokkeytelse. Angir for store dørbredder som kompenserende tiltak. Angir feil persontall i referansebygg. Bør beskrive mer om brannsmitte mellom rommene, og hvordan dette påvirker ulike pasienter i ulike rom."/>
    <n v="3"/>
    <s v="Bra at det argumenteres med de kompenserende tiltak. Noe faktafeil fra inndata."/>
    <n v="3"/>
    <x v="1"/>
    <x v="1"/>
    <x v="1"/>
  </r>
  <r>
    <d v="2026-04-30T01:01:56"/>
    <s v="R2"/>
    <x v="0"/>
    <n v="2"/>
    <s v="Tekst_C_Rådgiver2"/>
    <n v="2"/>
    <s v="Mulig faktafeil med 13M dører, faktafeil med EI60 dører i referansebygg. Bra med fokus på god oversikt mellom rom i samme branncelle. Faktafeil på persontall. Lurt å fokusere på at referansebygg heller ikke har krav om selvlukker på dørene. Bra med fokus på persontallet. mangler vurderinger med korte og mange rømningsveier som er kompenserende tiltak."/>
    <n v="2"/>
    <s v="faktafeil angitt i forrige punkt"/>
    <n v="3"/>
    <x v="1"/>
    <x v="1"/>
    <x v="1"/>
  </r>
  <r>
    <d v="2026-04-27T13:43:42"/>
    <s v="R3"/>
    <x v="2"/>
    <n v="3"/>
    <s v="Tekst_A_Rådgiver3"/>
    <n v="3"/>
    <s v="Generelt: Har ikke tegningsgrunnlag/brannplaner. Står endel henvisninger til dokumenter jeg ikke har tilgang på. Uvisst om UKPR har tilgang på disse, eller om de er utdypet i brannkonsept. F.eks. sprinkler hva/hvor er portrom. Tabell 7 viser ikke veldig utfyllende hvordan rømningssituasjonen er (to TR2 trapperom). Brannscenarioer; laserom hvor/hva? Lagerrom er dette tilknyttet/Egen BC? Teknisk rom (desentralisert/plassering/vent prinsipp/fosyningsområder/egen BC?). Har litt lite input ift. å gjøre en vurdering av satte brannscenarioer."/>
    <n v="3"/>
    <s v="Står nødmeldesentral ikke varsling til BV. Noe spesiell tekst; og romhøyden fra 8. etasje til underkant 9. etasje er avgren-set av ubrennbare kledninger K210 A2-s1,d0&quot;. Er det ubrennbare kledninger i himling/vegger/overalt/innslag? Står; Vegger mot trapperom er EI 30-CS som forutsatt i VTEK17. Menes her dør? Står; &quot;dobbelt rømningsbredde&quot; lite presist. Står vel aldri noe sted hva bredde på dørene er. Faktisk persontall eller det dimensjonerte?"/>
    <n v="3"/>
    <x v="1"/>
    <x v="1"/>
    <x v="1"/>
  </r>
  <r>
    <d v="2026-04-27T14:02:05"/>
    <s v="R3"/>
    <x v="0"/>
    <n v="3"/>
    <s v="Tekst_B_Rådgiver3"/>
    <n v="3"/>
    <s v="Hentet fra A. Generelt: Har ikke tegningsgrunnlag/brannplaner. Står endel henvisninger til dokumenter jeg ikke har tilgang på. Uvisst om UKPR har tilgang på disse, eller om de er utdypet i brannkonsept. F.eks. sprinkler hva/hvor er portrom. Tabell 7 viser ikke veldig utfyllende hvordan rømningssituasjonen er (to TR2 trapperom). Brannscenarioer; laserom hvor/hva? Lagerrom er dette tilknyttet/Egen BC? Teknisk rom (desentralisert/plassering/vent prinsipp/fosyningsområder/egen BC?). Har litt lite input ift. å gjøre en vurdering av satte brannscenarioer."/>
    <n v="2"/>
    <s v="Står rart ift. brannvesenets innsats (ikke prosjektspesifikt). Henviser til rapporter og analyser jeg ikke har tilgjengelig. Står noe ift. annen leietakerareal, uvisst hvor dette er, og om det andre TR2 trapperommet er via her. Står sentrum brannstasjon, var ikke på input hvertfl. Står noe ift. møbler, tekstiler og brennbare kosmetiske væsker. Uvisst hva som står i brannkonsept, men er ikke noe info om dette innledningsvis. Savner en tydeligere sammenligning, evt. presisering ift. om situasjonen er bedre ift. referansebyggverket."/>
    <n v="2"/>
    <x v="1"/>
    <x v="1"/>
    <x v="1"/>
  </r>
  <r>
    <d v="2026-04-27T14:05:03"/>
    <s v="R3"/>
    <x v="1"/>
    <n v="3"/>
    <s v="Tekst_C_Rådgiver3"/>
    <n v="2"/>
    <s v="Står at referansebygget er sprinklet. Missmatch mot tabell 4. Står ikke fri bredde på dører (3,2 cm per pers er vagt); er det de 15 personene eller dimensjonert tall?"/>
    <n v="2"/>
    <s v="Se over. generelt syns jeg tekst virker generisk. "/>
    <n v="2"/>
    <x v="1"/>
    <x v="1"/>
    <x v="1"/>
  </r>
  <r>
    <d v="2026-04-30T12:42:35"/>
    <s v="R4"/>
    <x v="2"/>
    <n v="1"/>
    <s v="Tekst_A_Rådgiver4"/>
    <n v="3"/>
    <s v="Sammenligningen angir at R30 er kompenserende noe det vel er siden det kunne vært R15, men det er i beskrivelse av referansebyggverk angitt R 30 A2-s1,d0, som er bedre. Selv om R30 er kompenserende for analysebygget er det sammenlignet med ref bygget ikke noe bedre. Seksjonering ville gitt mye høyere bæreevne.  "/>
    <n v="3"/>
    <s v="Litt mye fylltekst og dårlig formatering i form av ingen avsnitt og litt lite sammenheng fra en setning til neste. Men detaljene er hovedsakelig på plass. "/>
    <n v="3"/>
    <x v="2"/>
    <x v="2"/>
    <x v="2"/>
  </r>
  <r>
    <d v="2026-04-30T12:52:05"/>
    <s v="R4"/>
    <x v="1"/>
    <n v="1"/>
    <s v="Tekst_B_Rådgiver4"/>
    <n v="4"/>
    <s v="Ganske konkret, kunne sammenlignet brannscenarioet enda tydeligere i sammenligningen kanskje."/>
    <n v="4"/>
    <s v="Stort sett sammenheng mellom en setning til neste, noen ord jeg ikke ville brukt selv, men det kan være egen preferanse, eksempel &quot;utformet med kompenserende tiltak&quot;, &quot;de åpne rømningsløsningene&quot; er ikke ting jeg selv ville skrevet. "/>
    <n v="4"/>
    <x v="3"/>
    <x v="3"/>
    <x v="3"/>
  </r>
  <r>
    <d v="2026-04-30T12:56:41"/>
    <s v="R4"/>
    <x v="0"/>
    <n v="1"/>
    <s v="Tekst_C_Rådgiver4"/>
    <n v="5"/>
    <s v="Veldig konkret og prosjektspesifikt. Viktig å ikke &quot;snakke ned&quot; referansebygget, noe denne teksten løser greit."/>
    <n v="5"/>
    <s v="Beskriver menneskene som en del av konsekvensen ved brann, det er menneskelig gjort. Bruker tall og lager et ryddig hendelsestre. Fremstår som den beste teksten ut av alle. "/>
    <n v="5"/>
    <x v="3"/>
    <x v="3"/>
    <x v="3"/>
  </r>
  <r>
    <d v="2026-04-28T12:14:03"/>
    <s v="R5"/>
    <x v="0"/>
    <n v="2"/>
    <s v="Tekst_A_Rådgiver5"/>
    <n v="4"/>
    <s v="Fin, presis beskrivelse av fraviket og konklusjon. Når det gjelder forankring iht. standarden løses dette i storgrad av malfilen og hvordan denne er bygd opp."/>
    <n v="4"/>
    <s v="Beskrivelsen av løsningen er prosjektspesifikt, men selve fraviket er et standardfravik. "/>
    <n v="4"/>
    <x v="3"/>
    <x v="3"/>
    <x v="3"/>
  </r>
  <r>
    <d v="2026-04-28T12:21:08"/>
    <s v="R5"/>
    <x v="2"/>
    <n v="2"/>
    <s v="Tekst_B_Rådgiver5"/>
    <n v="4"/>
    <s v="Fremstår som et godt skrevet fravik. "/>
    <n v="4"/>
    <s v="God beskrivelse av analysebyggverket og referansebyggverket. Fremstår ikke veldig generisk"/>
    <n v="5"/>
    <x v="3"/>
    <x v="3"/>
    <x v="3"/>
  </r>
  <r>
    <d v="2026-04-28T12:25:50"/>
    <s v="R5"/>
    <x v="1"/>
    <n v="2"/>
    <s v="Tekst_C_Rådgiver5"/>
    <n v="4"/>
    <s v="Fremstår faglig korrekt og godt skrevet. Misstenker at dette er AI, for det brukes litt begreper noen av oss antageligvis ikke ville benyttet."/>
    <n v="4"/>
    <s v="Ser prosjektspesifikk, med litt generisk informasjon som man må forvente"/>
    <n v="4"/>
    <x v="2"/>
    <x v="2"/>
    <x v="2"/>
  </r>
  <r>
    <d v="2026-04-22T15:54:58"/>
    <s v="R6"/>
    <x v="1"/>
    <n v="3"/>
    <s v="Tekst_A_Rådgiver6"/>
    <n v="2"/>
    <s v="Brannscenario 1 er ikke beskrevet for analysebyggverk og referansebyggverk, bare opplisting av hvilke ytelser byggene har. Det er kun i sammenligningen at det faktiske scenarioet beskrives for byggene. En klar svakhet er vurdering er vurdering av brannbelastning som ikke er forklart. "/>
    <n v="3"/>
    <s v="brannbelastning fremstår generisk (og feil)"/>
    <n v="2"/>
    <x v="2"/>
    <x v="2"/>
    <x v="2"/>
  </r>
  <r>
    <d v="2026-04-22T16:02:48"/>
    <s v="R6"/>
    <x v="0"/>
    <n v="3"/>
    <s v="Tekst_B_Rådgiver6"/>
    <n v="4"/>
    <s v="Vurderingen kunne vært enda mer konkret for det aktuelle brannscenario. Får trekk for at ikke verdisikkerhet er vurdert/(nevnt). Kulepunkter i sammenligningen er ikke heldig."/>
    <n v="4"/>
    <s v="Info om brannvesen framstår som generisk. F-RAP-001B Rømningsanalyse&quot; er veldig spesifikt."/>
    <n v="4"/>
    <x v="3"/>
    <x v="3"/>
    <x v="3"/>
  </r>
  <r>
    <d v="2026-04-22T16:11:58"/>
    <s v="R6"/>
    <x v="2"/>
    <n v="3"/>
    <s v="Tekst_C_Rådgiver6"/>
    <n v="2"/>
    <s v="Svake vurderinger brannscenario for analyse- og referansebyggverk. Her er det stort sett oppramsing av ytelser. Sammenligningen er ganske god, men er ikke tydelig på verdisikring. Det er også en oppramsing av tabell 4 som allerede beskriver forskjellene."/>
    <n v="3"/>
    <s v="de nøyaktige referansene til paragrafer i TEK17 virker generiske."/>
    <n v="2"/>
    <x v="2"/>
    <x v="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30188BE-ADBD-4048-A34C-C054DF24CB13}" name="Pivottabell151" cacheId="6" applyNumberFormats="0" applyBorderFormats="0" applyFontFormats="0" applyPatternFormats="0" applyAlignmentFormats="0" applyWidthHeightFormats="1" dataCaption="Verdier" updatedVersion="8" minRefreshableVersion="3" showDrill="0" useAutoFormatting="1" itemPrintTitles="1" createdVersion="8" indent="0" outline="1" outlineData="1" multipleFieldFilters="0" chartFormat="20">
  <location ref="A3:E9" firstHeaderRow="1" firstDataRow="2" firstDataCol="1"/>
  <pivotFields count="14">
    <pivotField numFmtId="14" showAll="0"/>
    <pivotField showAll="0" sumSubtotal="1"/>
    <pivotField axis="axisCol" showAll="0">
      <items count="4">
        <item x="1"/>
        <item x="2"/>
        <item x="0"/>
        <item t="default"/>
      </items>
    </pivotField>
    <pivotField showAll="0"/>
    <pivotField showAll="0" sumSubtotal="1"/>
    <pivotField showAll="0"/>
    <pivotField showAll="0"/>
    <pivotField showAll="0"/>
    <pivotField showAll="0"/>
    <pivotField showAll="0"/>
    <pivotField axis="axisRow" showAll="0">
      <items count="5">
        <item x="3"/>
        <item x="2"/>
        <item x="1"/>
        <item x="0"/>
        <item t="default"/>
      </items>
    </pivotField>
    <pivotField dataField="1" showAll="0"/>
    <pivotField showAll="0"/>
    <pivotField dragToRow="0" dragToCol="0" dragToPage="0" showAll="0" defaultSubtotal="0"/>
  </pivotFields>
  <rowFields count="1">
    <field x="10"/>
  </rowFields>
  <rowItems count="5">
    <i>
      <x/>
    </i>
    <i>
      <x v="1"/>
    </i>
    <i>
      <x v="2"/>
    </i>
    <i>
      <x v="3"/>
    </i>
    <i t="grand">
      <x/>
    </i>
  </rowItems>
  <colFields count="1">
    <field x="2"/>
  </colFields>
  <colItems count="4">
    <i>
      <x/>
    </i>
    <i>
      <x v="1"/>
    </i>
    <i>
      <x v="2"/>
    </i>
    <i t="grand">
      <x/>
    </i>
  </colItems>
  <dataFields count="1">
    <dataField name="Antall av Etterarbeid til reelt prosjekt2" fld="11" subtotal="count" baseField="10" baseItem="0"/>
  </dataFields>
  <chartFormats count="4">
    <chartFormat chart="1" format="18" series="1">
      <pivotArea type="data" outline="0" fieldPosition="0">
        <references count="2">
          <reference field="4294967294" count="1" selected="0">
            <x v="0"/>
          </reference>
          <reference field="2" count="1" selected="0">
            <x v="0"/>
          </reference>
        </references>
      </pivotArea>
    </chartFormat>
    <chartFormat chart="1" format="19" series="1">
      <pivotArea type="data" outline="0" fieldPosition="0">
        <references count="2">
          <reference field="4294967294" count="1" selected="0">
            <x v="0"/>
          </reference>
          <reference field="2" count="1" selected="0">
            <x v="1"/>
          </reference>
        </references>
      </pivotArea>
    </chartFormat>
    <chartFormat chart="1" format="20" series="1">
      <pivotArea type="data" outline="0" fieldPosition="0">
        <references count="2">
          <reference field="4294967294" count="1" selected="0">
            <x v="0"/>
          </reference>
          <reference field="2" count="1" selected="0">
            <x v="2"/>
          </reference>
        </references>
      </pivotArea>
    </chartFormat>
    <chartFormat chart="1" format="36" series="1">
      <pivotArea type="data" outline="0" fieldPosition="0">
        <references count="1">
          <reference field="4294967294" count="1" selected="0">
            <x v="0"/>
          </reference>
        </references>
      </pivotArea>
    </chartFormat>
  </chartFormats>
  <pivotTableStyleInfo name="PivotStyleDark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32EA6CD-7268-44A5-8703-E260BD7EFBB7}" name="Pivottabell124" cacheId="3" applyNumberFormats="0" applyBorderFormats="0" applyFontFormats="0" applyPatternFormats="0" applyAlignmentFormats="0" applyWidthHeightFormats="1" dataCaption="Verdier" updatedVersion="8" minRefreshableVersion="3" showDrill="0" useAutoFormatting="1" rowGrandTotals="0" colGrandTotals="0" itemPrintTitles="1" createdVersion="8" indent="0" compact="0" compactData="0" multipleFieldFilters="0" chartFormat="4">
  <location ref="A3:G7" firstHeaderRow="1" firstDataRow="2" firstDataCol="1"/>
  <pivotFields count="3">
    <pivotField axis="axisCol" compact="0" outline="0" showAll="0" defaultSubtotal="0">
      <items count="6">
        <item x="0"/>
        <item x="1"/>
        <item x="2"/>
        <item x="3"/>
        <item x="4"/>
        <item x="5"/>
      </items>
      <extLst>
        <ext xmlns:x14="http://schemas.microsoft.com/office/spreadsheetml/2009/9/main" uri="{2946ED86-A175-432a-8AC1-64E0C546D7DE}">
          <x14:pivotField fillDownLabels="1"/>
        </ext>
      </extLst>
    </pivotField>
    <pivotField axis="axisRow" compact="0" outline="0" showAll="0" defaultSubtotal="0">
      <items count="3">
        <item x="1"/>
        <item x="2"/>
        <item x="0"/>
      </items>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s>
  <rowFields count="1">
    <field x="1"/>
  </rowFields>
  <rowItems count="3">
    <i>
      <x/>
    </i>
    <i>
      <x v="1"/>
    </i>
    <i>
      <x v="2"/>
    </i>
  </rowItems>
  <colFields count="1">
    <field x="0"/>
  </colFields>
  <colItems count="6">
    <i>
      <x/>
    </i>
    <i>
      <x v="1"/>
    </i>
    <i>
      <x v="2"/>
    </i>
    <i>
      <x v="3"/>
    </i>
    <i>
      <x v="4"/>
    </i>
    <i>
      <x v="5"/>
    </i>
  </colItems>
  <dataFields count="1">
    <dataField name="Summer av Faglig korrekt og forankret i henhold til TEK17, VTEK17 og NS 3901" fld="2" baseField="0" baseItem="0"/>
  </dataFields>
  <chartFormats count="7">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3"/>
          </reference>
        </references>
      </pivotArea>
    </chartFormat>
    <chartFormat chart="0" format="4" series="1">
      <pivotArea type="data" outline="0" fieldPosition="0">
        <references count="2">
          <reference field="4294967294" count="1" selected="0">
            <x v="0"/>
          </reference>
          <reference field="0" count="1" selected="0">
            <x v="4"/>
          </reference>
        </references>
      </pivotArea>
    </chartFormat>
    <chartFormat chart="0" format="5" series="1">
      <pivotArea type="data" outline="0" fieldPosition="0">
        <references count="2">
          <reference field="4294967294" count="1" selected="0">
            <x v="0"/>
          </reference>
          <reference field="0" count="1" selected="0">
            <x v="5"/>
          </reference>
        </references>
      </pivotArea>
    </chartFormat>
    <chartFormat chart="0" format="6" series="1">
      <pivotArea type="data" outline="0" fieldPosition="0">
        <references count="2">
          <reference field="4294967294" count="1" selected="0">
            <x v="0"/>
          </reference>
          <reference field="0"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8E81A4B-3B61-4805-B61A-F4F3BCFA1812}" name="Pivottabell131" cacheId="4" applyNumberFormats="0" applyBorderFormats="0" applyFontFormats="0" applyPatternFormats="0" applyAlignmentFormats="0" applyWidthHeightFormats="1" dataCaption="Verdier" updatedVersion="8" minRefreshableVersion="3" useAutoFormatting="1" rowGrandTotals="0" colGrandTotals="0" itemPrintTitles="1" createdVersion="8" indent="0" compact="0" compactData="0" multipleFieldFilters="0" chartFormat="4">
  <location ref="A3:G7" firstHeaderRow="1" firstDataRow="2" firstDataCol="1"/>
  <pivotFields count="3">
    <pivotField axis="axisCol" compact="0" outline="0" showAll="0" defaultSubtotal="0">
      <items count="6">
        <item x="0"/>
        <item x="1"/>
        <item x="2"/>
        <item x="3"/>
        <item x="4"/>
        <item x="5"/>
      </items>
      <extLst>
        <ext xmlns:x14="http://schemas.microsoft.com/office/spreadsheetml/2009/9/main" uri="{2946ED86-A175-432a-8AC1-64E0C546D7DE}">
          <x14:pivotField fillDownLabels="1"/>
        </ext>
      </extLst>
    </pivotField>
    <pivotField axis="axisRow" compact="0" outline="0" showAll="0" defaultSubtotal="0">
      <items count="3">
        <item x="1"/>
        <item x="2"/>
        <item x="0"/>
      </items>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s>
  <rowFields count="1">
    <field x="1"/>
  </rowFields>
  <rowItems count="3">
    <i>
      <x/>
    </i>
    <i>
      <x v="1"/>
    </i>
    <i>
      <x v="2"/>
    </i>
  </rowItems>
  <colFields count="1">
    <field x="0"/>
  </colFields>
  <colItems count="6">
    <i>
      <x/>
    </i>
    <i>
      <x v="1"/>
    </i>
    <i>
      <x v="2"/>
    </i>
    <i>
      <x v="3"/>
    </i>
    <i>
      <x v="4"/>
    </i>
    <i>
      <x v="5"/>
    </i>
  </colItems>
  <dataFields count="1">
    <dataField name="Summer av Korrekt inndata / generisk tekst" fld="2" baseField="0" baseItem="0"/>
  </dataField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3"/>
          </reference>
        </references>
      </pivotArea>
    </chartFormat>
    <chartFormat chart="0" format="4" series="1">
      <pivotArea type="data" outline="0" fieldPosition="0">
        <references count="2">
          <reference field="4294967294" count="1" selected="0">
            <x v="0"/>
          </reference>
          <reference field="0" count="1" selected="0">
            <x v="4"/>
          </reference>
        </references>
      </pivotArea>
    </chartFormat>
    <chartFormat chart="0" format="5" series="1">
      <pivotArea type="data" outline="0" fieldPosition="0">
        <references count="2">
          <reference field="4294967294" count="1" selected="0">
            <x v="0"/>
          </reference>
          <reference field="0" count="1" selected="0">
            <x v="5"/>
          </reference>
        </references>
      </pivotArea>
    </chartFormat>
    <chartFormat chart="0" format="6" series="1">
      <pivotArea type="data" outline="0" fieldPosition="0">
        <references count="2">
          <reference field="4294967294" count="1" selected="0">
            <x v="0"/>
          </reference>
          <reference field="0" count="1" selected="0">
            <x v="0"/>
          </reference>
        </references>
      </pivotArea>
    </chartFormat>
    <chartFormat chart="0" format="7">
      <pivotArea type="data" outline="0" fieldPosition="0">
        <references count="3">
          <reference field="4294967294" count="1" selected="0">
            <x v="0"/>
          </reference>
          <reference field="0" count="1" selected="0">
            <x v="0"/>
          </reference>
          <reference field="1" count="1" selected="0">
            <x v="0"/>
          </reference>
        </references>
      </pivotArea>
    </chartFormat>
    <chartFormat chart="0" format="8">
      <pivotArea type="data" outline="0" fieldPosition="0">
        <references count="3">
          <reference field="4294967294" count="1" selected="0">
            <x v="0"/>
          </reference>
          <reference field="0" count="1" selected="0">
            <x v="0"/>
          </reference>
          <reference field="1" count="1" selected="0">
            <x v="1"/>
          </reference>
        </references>
      </pivotArea>
    </chartFormat>
    <chartFormat chart="0" format="9">
      <pivotArea type="data" outline="0" fieldPosition="0">
        <references count="3">
          <reference field="4294967294" count="1" selected="0">
            <x v="0"/>
          </reference>
          <reference field="0" count="1" selected="0">
            <x v="0"/>
          </reference>
          <reference field="1"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9003400-5BCE-4084-9923-B75D15A623D9}" name="Pivottabell150" cacheId="5" applyNumberFormats="0" applyBorderFormats="0" applyFontFormats="0" applyPatternFormats="0" applyAlignmentFormats="0" applyWidthHeightFormats="1" dataCaption="Verdier" updatedVersion="8" minRefreshableVersion="3" useAutoFormatting="1" rowGrandTotals="0" colGrandTotals="0" itemPrintTitles="1" createdVersion="8" indent="0" compact="0" compactData="0" multipleFieldFilters="0" chartFormat="2">
  <location ref="A3:G7" firstHeaderRow="1" firstDataRow="2" firstDataCol="1"/>
  <pivotFields count="3">
    <pivotField axis="axisCol" compact="0" outline="0" showAll="0" defaultSubtotal="0">
      <items count="6">
        <item x="0"/>
        <item x="1"/>
        <item x="2"/>
        <item x="3"/>
        <item x="4"/>
        <item x="5"/>
      </items>
      <extLst>
        <ext xmlns:x14="http://schemas.microsoft.com/office/spreadsheetml/2009/9/main" uri="{2946ED86-A175-432a-8AC1-64E0C546D7DE}">
          <x14:pivotField fillDownLabels="1"/>
        </ext>
      </extLst>
    </pivotField>
    <pivotField axis="axisRow" compact="0" outline="0" showAll="0" defaultSubtotal="0">
      <items count="3">
        <item x="1"/>
        <item x="2"/>
        <item x="0"/>
      </items>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s>
  <rowFields count="1">
    <field x="1"/>
  </rowFields>
  <rowItems count="3">
    <i>
      <x/>
    </i>
    <i>
      <x v="1"/>
    </i>
    <i>
      <x v="2"/>
    </i>
  </rowItems>
  <colFields count="1">
    <field x="0"/>
  </colFields>
  <colItems count="6">
    <i>
      <x/>
    </i>
    <i>
      <x v="1"/>
    </i>
    <i>
      <x v="2"/>
    </i>
    <i>
      <x v="3"/>
    </i>
    <i>
      <x v="4"/>
    </i>
    <i>
      <x v="5"/>
    </i>
  </colItems>
  <dataFields count="1">
    <dataField name="Summer av Nivå: Teksten VS. Erfaren brannrådgiver " fld="2" baseField="0" baseItem="0"/>
  </dataFields>
  <chartFormats count="7">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3"/>
          </reference>
        </references>
      </pivotArea>
    </chartFormat>
    <chartFormat chart="0" format="4" series="1">
      <pivotArea type="data" outline="0" fieldPosition="0">
        <references count="2">
          <reference field="4294967294" count="1" selected="0">
            <x v="0"/>
          </reference>
          <reference field="0" count="1" selected="0">
            <x v="4"/>
          </reference>
        </references>
      </pivotArea>
    </chartFormat>
    <chartFormat chart="0" format="5" series="1">
      <pivotArea type="data" outline="0" fieldPosition="0">
        <references count="2">
          <reference field="4294967294" count="1" selected="0">
            <x v="0"/>
          </reference>
          <reference field="0" count="1" selected="0">
            <x v="5"/>
          </reference>
        </references>
      </pivotArea>
    </chartFormat>
    <chartFormat chart="0" format="6" series="1">
      <pivotArea type="data" outline="0" fieldPosition="0">
        <references count="2">
          <reference field="4294967294" count="1" selected="0">
            <x v="0"/>
          </reference>
          <reference field="0"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4854BC5-4FED-416D-AB74-9D962C5086D8}" name="TabMain" displayName="TabMain" ref="A1:M19" totalsRowShown="0" headerRowDxfId="36" dataDxfId="35">
  <autoFilter ref="A1:M19" xr:uid="{84854BC5-4FED-416D-AB74-9D962C5086D8}"/>
  <sortState xmlns:xlrd2="http://schemas.microsoft.com/office/spreadsheetml/2017/richdata2" ref="A2:K19">
    <sortCondition ref="B1:B19"/>
  </sortState>
  <tableColumns count="13">
    <tableColumn id="1" xr3:uid="{BF91D8A6-E629-4A49-9E40-43FDE73CE891}" name="Tidsmerke" dataDxfId="34"/>
    <tableColumn id="10" xr3:uid="{77EE7377-DC13-4A47-9BEC-1BFAEA76E929}" name="Rådgiver" dataDxfId="33"/>
    <tableColumn id="11" xr3:uid="{48D6CFFE-76EF-4078-9616-9365488FAA2F}" name="Tekster" dataDxfId="32"/>
    <tableColumn id="9" xr3:uid="{1BD82DDD-D7F1-443D-AFAE-5D922C538C05}" name="Case " dataDxfId="31"/>
    <tableColumn id="2" xr3:uid="{818543F2-E369-4759-8F7F-3172AE113329}" name="Tekst navn" dataDxfId="30"/>
    <tableColumn id="3" xr3:uid="{3CCCFBB5-9902-4079-874F-3B7272117472}" name="Faglig korrekt og forankret i henhold til TEK17, VTEK17 og NS 3901" dataDxfId="29"/>
    <tableColumn id="4" xr3:uid="{2A93AEEB-D0D9-4D47-913C-82722640439B}" name="Begrunnelse: STYRKE/SVAKHET_x000a_" dataDxfId="28"/>
    <tableColumn id="5" xr3:uid="{78412A6A-99D2-4479-A898-333E23F1B3CC}" name="Korrekt inndata / generisk tekst" dataDxfId="27"/>
    <tableColumn id="6" xr3:uid="{4F67F705-5CF3-47CE-92D5-22D2EEC2CBD3}" name="Begrunnelse: Prosjektspesifikt og hva fremstår generisk" dataDxfId="26"/>
    <tableColumn id="7" xr3:uid="{96008A76-849F-42AA-B925-69DAD3CC4E2C}" name="Nivå: Teksten VS. Erfaren brannrådgiver " dataDxfId="25"/>
    <tableColumn id="8" xr3:uid="{53D308D9-B8FA-434C-955C-017FF32679C3}" name="Etterarbeid til reelt prosjekt" dataDxfId="24"/>
    <tableColumn id="12" xr3:uid="{1210CD19-26EB-4007-84E8-6154B52ADD96}" name="Etterarbeid til reelt prosjekt2" dataDxfId="23"/>
    <tableColumn id="13" xr3:uid="{088D6271-82B6-46E6-9D99-B8E0BF2F95A9}" name="Etterarbeid til reelt prosjekt22" dataDxfId="22"/>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41C7C189-D437-49FD-BAA7-F6E1A62E034B}" name="TabBegrunnelse1" displayName="TabBegrunnelse1" ref="A1:D19" totalsRowShown="0" dataDxfId="21">
  <autoFilter ref="A1:D19" xr:uid="{41C7C189-D437-49FD-BAA7-F6E1A62E034B}"/>
  <tableColumns count="4">
    <tableColumn id="1" xr3:uid="{C1A1B2FD-541C-4AB0-B41D-D368D5559210}" name="Rådgiver" dataDxfId="20"/>
    <tableColumn id="2" xr3:uid="{9802D8EF-E4D3-457B-B2FA-DE06FAEF6854}" name="Tekster" dataDxfId="19"/>
    <tableColumn id="3" xr3:uid="{B2CB7442-E52E-4A17-81A7-7213E8E0117C}" name="Tekst navn" dataDxfId="18"/>
    <tableColumn id="4" xr3:uid="{3E63FD33-42F4-449C-8341-471BFFDD3968}" name="Begrunnelse: Prosjektspesifikt og hva fremstår generisk" dataDxfId="17"/>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713DCCC5-D69E-4B33-852E-831A70AD24AB}" name="TabBegrunnelse2" displayName="TabBegrunnelse2" ref="A21:D39" totalsRowShown="0" dataDxfId="16">
  <autoFilter ref="A21:D39" xr:uid="{713DCCC5-D69E-4B33-852E-831A70AD24AB}"/>
  <tableColumns count="4">
    <tableColumn id="1" xr3:uid="{D6D85761-7BF9-4CB3-89ED-91028EA83AFA}" name="Rådgiver" dataDxfId="15"/>
    <tableColumn id="2" xr3:uid="{7AB871D6-CD2E-4B63-8823-A5F58360E105}" name="Tekster" dataDxfId="14"/>
    <tableColumn id="3" xr3:uid="{DFBAB685-BA42-41BF-AF8F-1E490E402E1E}" name="Tekst navn" dataDxfId="13"/>
    <tableColumn id="4" xr3:uid="{BB075E11-4F36-4D1E-9018-8A1BC03EDE96}" name="Begrunnelse: STYRKE/SVAKHET_x000a_" dataDxfId="12"/>
  </tableColumns>
  <tableStyleInfo name="TableStyleMedium10"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65AAF09-9EA7-4E78-A909-E95586F89FF7}" name="Tabfaglig" displayName="Tabfaglig" ref="A1:D19" totalsRowShown="0" headerRowDxfId="11" dataDxfId="10">
  <autoFilter ref="A1:D19" xr:uid="{665AAF09-9EA7-4E78-A909-E95586F89FF7}"/>
  <tableColumns count="4">
    <tableColumn id="1" xr3:uid="{0C26FC73-016F-4FB1-B747-67BDB654B962}" name="Rådgiver" dataDxfId="9"/>
    <tableColumn id="2" xr3:uid="{47218C21-BC42-48D2-B5C3-D17EF3636973}" name="Tekster" dataDxfId="8"/>
    <tableColumn id="3" xr3:uid="{4923861A-E023-4E00-AC98-18BF32E2849C}" name="Case " dataDxfId="7"/>
    <tableColumn id="4" xr3:uid="{3342C097-DABC-448A-B8EF-AFE7D690956C}" name="Faglig korrekt og forankret i henhold til TEK17, VTEK17 og NS 3901" dataDxfId="6"/>
  </tableColumns>
  <tableStyleInfo name="TableStyleMedium5"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D1D50721-1AC7-4225-9EBB-F446D11055C2}" name="Tabkorrektdata" displayName="Tabkorrektdata" ref="A1:C19" totalsRowShown="0" headerRowDxfId="5">
  <autoFilter ref="A1:C19" xr:uid="{D1D50721-1AC7-4225-9EBB-F446D11055C2}"/>
  <tableColumns count="3">
    <tableColumn id="1" xr3:uid="{352EAD2D-AA47-42F2-8994-58AD88BEB215}" name="Rådgiver"/>
    <tableColumn id="2" xr3:uid="{C1AACBEE-E1AB-4C51-B64E-FFAF2272AD4D}" name="Tekster"/>
    <tableColumn id="3" xr3:uid="{F1B0E413-C2EC-4D11-8E57-1275B77AC061}" name="Korrekt inndata / generisk tekst"/>
  </tableColumns>
  <tableStyleInfo name="TableStyleMedium6"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84B8BABB-E64A-4C3D-904D-B1B0A4026F77}" name="Tabnivåekspert" displayName="Tabnivåekspert" ref="A1:C19" totalsRowShown="0" headerRowDxfId="4">
  <autoFilter ref="A1:C19" xr:uid="{84B8BABB-E64A-4C3D-904D-B1B0A4026F77}"/>
  <tableColumns count="3">
    <tableColumn id="1" xr3:uid="{807F1FFC-6C98-479B-9776-F25834791799}" name="Rådgiver"/>
    <tableColumn id="2" xr3:uid="{AD298116-9923-4225-9862-4677A8654D08}" name="Tekster"/>
    <tableColumn id="3" xr3:uid="{E81D67BE-20B3-407C-B5A8-525121473496}" name="Nivå: Teksten VS. Erfaren brannrådgiver "/>
  </tableColumns>
  <tableStyleInfo name="TableStyleMedium3"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H19">
  <tableColumns count="8">
    <tableColumn id="1" xr3:uid="{00000000-0010-0000-0000-000001000000}" name="Tidsmerke" dataDxfId="3"/>
    <tableColumn id="2" xr3:uid="{00000000-0010-0000-0000-000002000000}" name="Hvem er du, og hvilken tekst vurderer du nå? (Skriv navnet på filen)"/>
    <tableColumn id="3" xr3:uid="{00000000-0010-0000-0000-000003000000}" name="I hvilken grad er teksten faglig korrekt og forankret i henhold til TEK17, VTEK17 og NS 3901?" dataDxfId="2"/>
    <tableColumn id="4" xr3:uid="{00000000-0010-0000-0000-000004000000}" name="Begrunn kort: Hva er faglig sterkt eller svakt? _x000a_Hva er tekstens viktigste styrke og viktigste svakhet?_x000a_Nevn gjerne konkrete feil eller mangler hvis du oppdaget noen."/>
    <tableColumn id="5" xr3:uid="{00000000-0010-0000-0000-000005000000}" name="I hvilken grad er teksten tilpasset de konkrete inndata for dette caset, eller fremstår den som generisk mal-tekst? Med «generisk» menes tekst som kunne passet ethvert fraviksdokument uten endringer – den bruker ikke de konkrete tallene, bygningstypen ell" dataDxfId="1"/>
    <tableColumn id="6" xr3:uid="{00000000-0010-0000-0000-000006000000}" name="Begrunn kort: Hva er prosjektspesifikt og hva fremstår generisk? Mistenker du at noen opplysninger er fylt inn uten å være forankret i inndata?"/>
    <tableColumn id="7" xr3:uid="{00000000-0010-0000-0000-000007000000}" name="Hvor godt tilsvarer teksten nivået en erfaren brannrådgiver ville skrevet?  " dataDxfId="0"/>
    <tableColumn id="8" xr3:uid="{00000000-0010-0000-0000-000008000000}" name="Hvor mye etterarbeid krever teksten før den kan brukes i et reelt prosjekt?  "/>
  </tableColumns>
  <tableStyleInfo name="TableStyleLight2" showFirstColumn="0"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9.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AC877-F364-4A23-9C7F-D3CC65D7B54D}">
  <dimension ref="A1:M46"/>
  <sheetViews>
    <sheetView tabSelected="1" workbookViewId="0">
      <selection activeCell="F50" sqref="F50"/>
    </sheetView>
  </sheetViews>
  <sheetFormatPr baseColWidth="10" defaultRowHeight="12.75" x14ac:dyDescent="0.2"/>
  <cols>
    <col min="1" max="1" width="16.42578125" customWidth="1"/>
    <col min="2" max="2" width="21.5703125" customWidth="1"/>
    <col min="3" max="3" width="27" customWidth="1"/>
    <col min="4" max="4" width="21" customWidth="1"/>
    <col min="5" max="5" width="29" customWidth="1"/>
    <col min="6" max="6" width="19.85546875" customWidth="1"/>
    <col min="7" max="7" width="34.42578125" customWidth="1"/>
    <col min="8" max="8" width="21" customWidth="1"/>
    <col min="9" max="9" width="19.28515625" customWidth="1"/>
    <col min="10" max="10" width="23.28515625" customWidth="1"/>
    <col min="11" max="11" width="21.140625" customWidth="1"/>
    <col min="12" max="12" width="19" customWidth="1"/>
    <col min="13" max="13" width="17.7109375" bestFit="1" customWidth="1"/>
  </cols>
  <sheetData>
    <row r="1" spans="1:13" ht="39" customHeight="1" x14ac:dyDescent="0.2">
      <c r="A1" s="8" t="s">
        <v>0</v>
      </c>
      <c r="B1" s="9" t="s">
        <v>76</v>
      </c>
      <c r="C1" s="9" t="s">
        <v>84</v>
      </c>
      <c r="D1" s="9" t="s">
        <v>67</v>
      </c>
      <c r="E1" s="9" t="s">
        <v>66</v>
      </c>
      <c r="F1" s="9" t="s">
        <v>68</v>
      </c>
      <c r="G1" s="9" t="s">
        <v>71</v>
      </c>
      <c r="H1" s="9" t="s">
        <v>69</v>
      </c>
      <c r="I1" s="9" t="s">
        <v>70</v>
      </c>
      <c r="J1" s="9" t="s">
        <v>72</v>
      </c>
      <c r="K1" s="9" t="s">
        <v>73</v>
      </c>
      <c r="L1" s="9" t="s">
        <v>103</v>
      </c>
      <c r="M1" s="9" t="s">
        <v>105</v>
      </c>
    </row>
    <row r="2" spans="1:13" x14ac:dyDescent="0.2">
      <c r="A2" s="10">
        <v>46140.641709872682</v>
      </c>
      <c r="B2" s="6" t="s">
        <v>86</v>
      </c>
      <c r="C2" s="6" t="s">
        <v>81</v>
      </c>
      <c r="D2" s="6">
        <v>1</v>
      </c>
      <c r="E2" s="6" t="s">
        <v>57</v>
      </c>
      <c r="F2" s="6">
        <v>3</v>
      </c>
      <c r="G2" s="6" t="s">
        <v>29</v>
      </c>
      <c r="H2" s="6">
        <v>5</v>
      </c>
      <c r="I2" s="6" t="s">
        <v>30</v>
      </c>
      <c r="J2" s="6">
        <v>4</v>
      </c>
      <c r="K2" s="6" t="s">
        <v>31</v>
      </c>
      <c r="L2" s="6" t="s">
        <v>31</v>
      </c>
      <c r="M2" s="6" t="s">
        <v>31</v>
      </c>
    </row>
    <row r="3" spans="1:13" x14ac:dyDescent="0.2">
      <c r="A3" s="10">
        <v>46140.652836053239</v>
      </c>
      <c r="B3" s="6" t="s">
        <v>86</v>
      </c>
      <c r="C3" s="6" t="s">
        <v>82</v>
      </c>
      <c r="D3" s="6">
        <v>1</v>
      </c>
      <c r="E3" s="6" t="s">
        <v>58</v>
      </c>
      <c r="F3" s="6">
        <v>3</v>
      </c>
      <c r="G3" s="6" t="s">
        <v>32</v>
      </c>
      <c r="H3" s="6">
        <v>4</v>
      </c>
      <c r="I3" s="6" t="s">
        <v>33</v>
      </c>
      <c r="J3" s="6">
        <v>3</v>
      </c>
      <c r="K3" s="6" t="s">
        <v>31</v>
      </c>
      <c r="L3" s="6" t="s">
        <v>31</v>
      </c>
      <c r="M3" s="6" t="s">
        <v>31</v>
      </c>
    </row>
    <row r="4" spans="1:13" x14ac:dyDescent="0.2">
      <c r="A4" s="10">
        <v>46140.663212407409</v>
      </c>
      <c r="B4" s="6" t="s">
        <v>86</v>
      </c>
      <c r="C4" s="6" t="s">
        <v>83</v>
      </c>
      <c r="D4" s="6">
        <v>1</v>
      </c>
      <c r="E4" s="6" t="s">
        <v>59</v>
      </c>
      <c r="F4" s="6">
        <v>1</v>
      </c>
      <c r="G4" s="6" t="s">
        <v>34</v>
      </c>
      <c r="H4" s="6">
        <v>4</v>
      </c>
      <c r="I4" s="6" t="s">
        <v>35</v>
      </c>
      <c r="J4" s="6">
        <v>2</v>
      </c>
      <c r="K4" s="6" t="s">
        <v>31</v>
      </c>
      <c r="L4" s="6" t="s">
        <v>31</v>
      </c>
      <c r="M4" s="6" t="s">
        <v>31</v>
      </c>
    </row>
    <row r="5" spans="1:13" x14ac:dyDescent="0.2">
      <c r="A5" s="10">
        <v>46142.029459525467</v>
      </c>
      <c r="B5" s="6" t="s">
        <v>87</v>
      </c>
      <c r="C5" s="6" t="s">
        <v>82</v>
      </c>
      <c r="D5" s="6">
        <v>2</v>
      </c>
      <c r="E5" s="6" t="s">
        <v>60</v>
      </c>
      <c r="F5" s="6">
        <v>2</v>
      </c>
      <c r="G5" s="6" t="s">
        <v>36</v>
      </c>
      <c r="H5" s="6">
        <v>2</v>
      </c>
      <c r="I5" s="6" t="s">
        <v>37</v>
      </c>
      <c r="J5" s="6">
        <v>2</v>
      </c>
      <c r="K5" s="6" t="s">
        <v>18</v>
      </c>
      <c r="L5" s="6" t="s">
        <v>18</v>
      </c>
      <c r="M5" s="6" t="s">
        <v>18</v>
      </c>
    </row>
    <row r="6" spans="1:13" x14ac:dyDescent="0.2">
      <c r="A6" s="10">
        <v>46142.037168576389</v>
      </c>
      <c r="B6" s="6" t="s">
        <v>87</v>
      </c>
      <c r="C6" s="6" t="s">
        <v>83</v>
      </c>
      <c r="D6" s="6">
        <v>2</v>
      </c>
      <c r="E6" s="6" t="s">
        <v>61</v>
      </c>
      <c r="F6" s="6">
        <v>2</v>
      </c>
      <c r="G6" s="6" t="s">
        <v>38</v>
      </c>
      <c r="H6" s="6">
        <v>3</v>
      </c>
      <c r="I6" s="6" t="s">
        <v>39</v>
      </c>
      <c r="J6" s="6">
        <v>3</v>
      </c>
      <c r="K6" s="6" t="s">
        <v>18</v>
      </c>
      <c r="L6" s="6" t="s">
        <v>18</v>
      </c>
      <c r="M6" s="6" t="s">
        <v>18</v>
      </c>
    </row>
    <row r="7" spans="1:13" x14ac:dyDescent="0.2">
      <c r="A7" s="10">
        <v>46142.04300888889</v>
      </c>
      <c r="B7" s="6" t="s">
        <v>87</v>
      </c>
      <c r="C7" s="6" t="s">
        <v>81</v>
      </c>
      <c r="D7" s="6">
        <v>2</v>
      </c>
      <c r="E7" s="6" t="s">
        <v>62</v>
      </c>
      <c r="F7" s="6">
        <v>2</v>
      </c>
      <c r="G7" s="6" t="s">
        <v>40</v>
      </c>
      <c r="H7" s="6">
        <v>2</v>
      </c>
      <c r="I7" s="6" t="s">
        <v>41</v>
      </c>
      <c r="J7" s="6">
        <v>3</v>
      </c>
      <c r="K7" s="6" t="s">
        <v>18</v>
      </c>
      <c r="L7" s="6" t="s">
        <v>18</v>
      </c>
      <c r="M7" s="6" t="s">
        <v>18</v>
      </c>
    </row>
    <row r="8" spans="1:13" x14ac:dyDescent="0.2">
      <c r="A8" s="10">
        <v>46139.572014768521</v>
      </c>
      <c r="B8" s="6" t="s">
        <v>88</v>
      </c>
      <c r="C8" s="6" t="s">
        <v>83</v>
      </c>
      <c r="D8" s="6">
        <v>3</v>
      </c>
      <c r="E8" s="6" t="s">
        <v>51</v>
      </c>
      <c r="F8" s="6">
        <v>3</v>
      </c>
      <c r="G8" s="6" t="s">
        <v>16</v>
      </c>
      <c r="H8" s="6">
        <v>3</v>
      </c>
      <c r="I8" s="6" t="s">
        <v>17</v>
      </c>
      <c r="J8" s="6">
        <v>3</v>
      </c>
      <c r="K8" s="6" t="s">
        <v>18</v>
      </c>
      <c r="L8" s="6" t="s">
        <v>18</v>
      </c>
      <c r="M8" s="6" t="s">
        <v>18</v>
      </c>
    </row>
    <row r="9" spans="1:13" x14ac:dyDescent="0.2">
      <c r="A9" s="10">
        <v>46139.584784722218</v>
      </c>
      <c r="B9" s="6" t="s">
        <v>88</v>
      </c>
      <c r="C9" s="6" t="s">
        <v>81</v>
      </c>
      <c r="D9" s="6">
        <v>3</v>
      </c>
      <c r="E9" s="6" t="s">
        <v>52</v>
      </c>
      <c r="F9" s="6">
        <v>3</v>
      </c>
      <c r="G9" s="6" t="s">
        <v>19</v>
      </c>
      <c r="H9" s="6">
        <v>2</v>
      </c>
      <c r="I9" s="6" t="s">
        <v>20</v>
      </c>
      <c r="J9" s="6">
        <v>2</v>
      </c>
      <c r="K9" s="6" t="s">
        <v>18</v>
      </c>
      <c r="L9" s="6" t="s">
        <v>18</v>
      </c>
      <c r="M9" s="6" t="s">
        <v>18</v>
      </c>
    </row>
    <row r="10" spans="1:13" x14ac:dyDescent="0.2">
      <c r="A10" s="10">
        <v>46139.586834664355</v>
      </c>
      <c r="B10" s="6" t="s">
        <v>88</v>
      </c>
      <c r="C10" s="6" t="s">
        <v>82</v>
      </c>
      <c r="D10" s="6">
        <v>3</v>
      </c>
      <c r="E10" s="6" t="s">
        <v>53</v>
      </c>
      <c r="F10" s="6">
        <v>2</v>
      </c>
      <c r="G10" s="6" t="s">
        <v>21</v>
      </c>
      <c r="H10" s="6">
        <v>2</v>
      </c>
      <c r="I10" s="6" t="s">
        <v>22</v>
      </c>
      <c r="J10" s="6">
        <v>2</v>
      </c>
      <c r="K10" s="6" t="s">
        <v>18</v>
      </c>
      <c r="L10" s="6" t="s">
        <v>18</v>
      </c>
      <c r="M10" s="6" t="s">
        <v>18</v>
      </c>
    </row>
    <row r="11" spans="1:13" x14ac:dyDescent="0.2">
      <c r="A11" s="10">
        <v>46142.529569502316</v>
      </c>
      <c r="B11" s="6" t="s">
        <v>89</v>
      </c>
      <c r="C11" s="6" t="s">
        <v>83</v>
      </c>
      <c r="D11" s="6">
        <v>1</v>
      </c>
      <c r="E11" s="6" t="s">
        <v>63</v>
      </c>
      <c r="F11" s="6">
        <v>3</v>
      </c>
      <c r="G11" s="6" t="s">
        <v>42</v>
      </c>
      <c r="H11" s="6">
        <v>3</v>
      </c>
      <c r="I11" s="6" t="s">
        <v>43</v>
      </c>
      <c r="J11" s="6">
        <v>3</v>
      </c>
      <c r="K11" s="6" t="s">
        <v>10</v>
      </c>
      <c r="L11" s="6" t="s">
        <v>10</v>
      </c>
      <c r="M11" s="6" t="s">
        <v>10</v>
      </c>
    </row>
    <row r="12" spans="1:13" x14ac:dyDescent="0.2">
      <c r="A12" s="10">
        <v>46142.536163449069</v>
      </c>
      <c r="B12" s="6" t="s">
        <v>89</v>
      </c>
      <c r="C12" s="6" t="s">
        <v>82</v>
      </c>
      <c r="D12" s="6">
        <v>1</v>
      </c>
      <c r="E12" s="6" t="s">
        <v>64</v>
      </c>
      <c r="F12" s="6">
        <v>4</v>
      </c>
      <c r="G12" s="6" t="s">
        <v>44</v>
      </c>
      <c r="H12" s="6">
        <v>4</v>
      </c>
      <c r="I12" s="6" t="s">
        <v>45</v>
      </c>
      <c r="J12" s="6">
        <v>4</v>
      </c>
      <c r="K12" s="6" t="s">
        <v>13</v>
      </c>
      <c r="L12" s="6" t="s">
        <v>13</v>
      </c>
      <c r="M12" s="6" t="s">
        <v>13</v>
      </c>
    </row>
    <row r="13" spans="1:13" x14ac:dyDescent="0.2">
      <c r="A13" s="10">
        <v>46142.539367372687</v>
      </c>
      <c r="B13" s="6" t="s">
        <v>89</v>
      </c>
      <c r="C13" s="6" t="s">
        <v>81</v>
      </c>
      <c r="D13" s="6">
        <v>1</v>
      </c>
      <c r="E13" s="6" t="s">
        <v>65</v>
      </c>
      <c r="F13" s="6">
        <v>5</v>
      </c>
      <c r="G13" s="6" t="s">
        <v>46</v>
      </c>
      <c r="H13" s="6">
        <v>5</v>
      </c>
      <c r="I13" s="6" t="s">
        <v>47</v>
      </c>
      <c r="J13" s="6">
        <v>5</v>
      </c>
      <c r="K13" s="6" t="s">
        <v>13</v>
      </c>
      <c r="L13" s="6" t="s">
        <v>13</v>
      </c>
      <c r="M13" s="6" t="s">
        <v>13</v>
      </c>
    </row>
    <row r="14" spans="1:13" x14ac:dyDescent="0.2">
      <c r="A14" s="10">
        <v>46140.509755590276</v>
      </c>
      <c r="B14" s="6" t="s">
        <v>90</v>
      </c>
      <c r="C14" s="6" t="s">
        <v>81</v>
      </c>
      <c r="D14" s="6">
        <v>2</v>
      </c>
      <c r="E14" s="6" t="s">
        <v>56</v>
      </c>
      <c r="F14" s="6">
        <v>4</v>
      </c>
      <c r="G14" s="6" t="s">
        <v>23</v>
      </c>
      <c r="H14" s="6">
        <v>4</v>
      </c>
      <c r="I14" s="6" t="s">
        <v>24</v>
      </c>
      <c r="J14" s="6">
        <v>4</v>
      </c>
      <c r="K14" s="6" t="s">
        <v>13</v>
      </c>
      <c r="L14" s="6" t="s">
        <v>13</v>
      </c>
      <c r="M14" s="6" t="s">
        <v>13</v>
      </c>
    </row>
    <row r="15" spans="1:13" x14ac:dyDescent="0.2">
      <c r="A15" s="10">
        <v>46140.51467819445</v>
      </c>
      <c r="B15" s="6" t="s">
        <v>90</v>
      </c>
      <c r="C15" s="6" t="s">
        <v>83</v>
      </c>
      <c r="D15" s="6">
        <v>2</v>
      </c>
      <c r="E15" s="6" t="s">
        <v>54</v>
      </c>
      <c r="F15" s="6">
        <v>4</v>
      </c>
      <c r="G15" s="6" t="s">
        <v>25</v>
      </c>
      <c r="H15" s="6">
        <v>4</v>
      </c>
      <c r="I15" s="6" t="s">
        <v>26</v>
      </c>
      <c r="J15" s="6">
        <v>5</v>
      </c>
      <c r="K15" s="6" t="s">
        <v>13</v>
      </c>
      <c r="L15" s="6" t="s">
        <v>13</v>
      </c>
      <c r="M15" s="6" t="s">
        <v>13</v>
      </c>
    </row>
    <row r="16" spans="1:13" x14ac:dyDescent="0.2">
      <c r="A16" s="10">
        <v>46140.517945347223</v>
      </c>
      <c r="B16" s="6" t="s">
        <v>90</v>
      </c>
      <c r="C16" s="6" t="s">
        <v>82</v>
      </c>
      <c r="D16" s="6">
        <v>2</v>
      </c>
      <c r="E16" s="6" t="s">
        <v>55</v>
      </c>
      <c r="F16" s="6">
        <v>4</v>
      </c>
      <c r="G16" s="6" t="s">
        <v>27</v>
      </c>
      <c r="H16" s="6">
        <v>4</v>
      </c>
      <c r="I16" s="6" t="s">
        <v>28</v>
      </c>
      <c r="J16" s="6">
        <v>4</v>
      </c>
      <c r="K16" s="6" t="s">
        <v>10</v>
      </c>
      <c r="L16" s="6" t="s">
        <v>10</v>
      </c>
      <c r="M16" s="6" t="s">
        <v>10</v>
      </c>
    </row>
    <row r="17" spans="1:13" x14ac:dyDescent="0.2">
      <c r="A17" s="10">
        <v>46134.663171296299</v>
      </c>
      <c r="B17" s="6" t="s">
        <v>91</v>
      </c>
      <c r="C17" s="6" t="s">
        <v>82</v>
      </c>
      <c r="D17" s="6">
        <v>3</v>
      </c>
      <c r="E17" s="6" t="s">
        <v>48</v>
      </c>
      <c r="F17" s="6">
        <v>2</v>
      </c>
      <c r="G17" s="6" t="s">
        <v>8</v>
      </c>
      <c r="H17" s="6">
        <v>3</v>
      </c>
      <c r="I17" s="6" t="s">
        <v>9</v>
      </c>
      <c r="J17" s="6">
        <v>2</v>
      </c>
      <c r="K17" s="6" t="s">
        <v>10</v>
      </c>
      <c r="L17" s="6" t="s">
        <v>10</v>
      </c>
      <c r="M17" s="6" t="s">
        <v>10</v>
      </c>
    </row>
    <row r="18" spans="1:13" x14ac:dyDescent="0.2">
      <c r="A18" s="10">
        <v>46134.668611712965</v>
      </c>
      <c r="B18" s="6" t="s">
        <v>91</v>
      </c>
      <c r="C18" s="6" t="s">
        <v>81</v>
      </c>
      <c r="D18" s="6">
        <v>3</v>
      </c>
      <c r="E18" s="6" t="s">
        <v>49</v>
      </c>
      <c r="F18" s="6">
        <v>4</v>
      </c>
      <c r="G18" s="6" t="s">
        <v>11</v>
      </c>
      <c r="H18" s="6">
        <v>4</v>
      </c>
      <c r="I18" s="6" t="s">
        <v>12</v>
      </c>
      <c r="J18" s="6">
        <v>4</v>
      </c>
      <c r="K18" s="6" t="s">
        <v>13</v>
      </c>
      <c r="L18" s="6" t="s">
        <v>13</v>
      </c>
      <c r="M18" s="6" t="s">
        <v>13</v>
      </c>
    </row>
    <row r="19" spans="1:13" x14ac:dyDescent="0.2">
      <c r="A19" s="10">
        <v>46134.674977523144</v>
      </c>
      <c r="B19" s="6" t="s">
        <v>91</v>
      </c>
      <c r="C19" s="6" t="s">
        <v>83</v>
      </c>
      <c r="D19" s="6">
        <v>3</v>
      </c>
      <c r="E19" s="6" t="s">
        <v>50</v>
      </c>
      <c r="F19" s="6">
        <v>2</v>
      </c>
      <c r="G19" s="6" t="s">
        <v>14</v>
      </c>
      <c r="H19" s="6">
        <v>3</v>
      </c>
      <c r="I19" s="6" t="s">
        <v>15</v>
      </c>
      <c r="J19" s="6">
        <v>2</v>
      </c>
      <c r="K19" s="6" t="s">
        <v>10</v>
      </c>
      <c r="L19" s="6" t="s">
        <v>10</v>
      </c>
      <c r="M19" s="6" t="s">
        <v>10</v>
      </c>
    </row>
    <row r="28" spans="1:13" x14ac:dyDescent="0.2">
      <c r="I28" s="40" t="s">
        <v>31</v>
      </c>
      <c r="J28">
        <f>+COUNTIFS(TabMain[Etterarbeid til reelt prosjekt2],I28)</f>
        <v>3</v>
      </c>
    </row>
    <row r="29" spans="1:13" x14ac:dyDescent="0.2">
      <c r="I29" s="41" t="s">
        <v>18</v>
      </c>
      <c r="J29">
        <f>+COUNTIFS(TabMain[Etterarbeid til reelt prosjekt2],I29)</f>
        <v>6</v>
      </c>
    </row>
    <row r="30" spans="1:13" x14ac:dyDescent="0.2">
      <c r="I30" s="41" t="s">
        <v>10</v>
      </c>
      <c r="J30">
        <f>+COUNTIFS(TabMain[Etterarbeid til reelt prosjekt2],I30)</f>
        <v>4</v>
      </c>
    </row>
    <row r="31" spans="1:13" x14ac:dyDescent="0.2">
      <c r="I31" s="40" t="s">
        <v>13</v>
      </c>
      <c r="J31">
        <f>+COUNTIFS(TabMain[Etterarbeid til reelt prosjekt2],I31)</f>
        <v>5</v>
      </c>
    </row>
    <row r="37" spans="5:8" x14ac:dyDescent="0.2">
      <c r="E37" t="s">
        <v>82</v>
      </c>
      <c r="F37" t="s">
        <v>106</v>
      </c>
      <c r="G37" t="s">
        <v>107</v>
      </c>
      <c r="H37" t="s">
        <v>108</v>
      </c>
    </row>
    <row r="39" spans="5:8" x14ac:dyDescent="0.2">
      <c r="E39" t="s">
        <v>86</v>
      </c>
      <c r="F39">
        <v>3</v>
      </c>
      <c r="G39">
        <v>4</v>
      </c>
      <c r="H39">
        <v>3</v>
      </c>
    </row>
    <row r="40" spans="5:8" x14ac:dyDescent="0.2">
      <c r="E40" t="s">
        <v>87</v>
      </c>
      <c r="F40">
        <v>2</v>
      </c>
      <c r="G40">
        <v>2</v>
      </c>
      <c r="H40">
        <v>2</v>
      </c>
    </row>
    <row r="41" spans="5:8" x14ac:dyDescent="0.2">
      <c r="E41" t="s">
        <v>88</v>
      </c>
      <c r="F41">
        <v>2</v>
      </c>
      <c r="G41">
        <v>2</v>
      </c>
      <c r="H41">
        <v>2</v>
      </c>
    </row>
    <row r="42" spans="5:8" x14ac:dyDescent="0.2">
      <c r="E42" t="s">
        <v>89</v>
      </c>
      <c r="F42">
        <v>4</v>
      </c>
      <c r="G42">
        <v>4</v>
      </c>
      <c r="H42">
        <v>4</v>
      </c>
    </row>
    <row r="43" spans="5:8" x14ac:dyDescent="0.2">
      <c r="E43" t="s">
        <v>90</v>
      </c>
      <c r="F43">
        <v>4</v>
      </c>
      <c r="G43">
        <v>4</v>
      </c>
      <c r="H43">
        <v>4</v>
      </c>
    </row>
    <row r="44" spans="5:8" x14ac:dyDescent="0.2">
      <c r="E44" t="s">
        <v>91</v>
      </c>
      <c r="F44">
        <v>2</v>
      </c>
      <c r="G44">
        <v>3</v>
      </c>
      <c r="H44">
        <v>2</v>
      </c>
    </row>
    <row r="46" spans="5:8" x14ac:dyDescent="0.2">
      <c r="E46" t="s">
        <v>109</v>
      </c>
      <c r="F46">
        <f>+AVERAGE(F39:F44)</f>
        <v>2.8333333333333335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D84391-1F70-4E88-A637-8813E5AF5E38}">
  <dimension ref="A3:E9"/>
  <sheetViews>
    <sheetView topLeftCell="A2" workbookViewId="0">
      <selection activeCell="I8" sqref="I8"/>
    </sheetView>
  </sheetViews>
  <sheetFormatPr baseColWidth="10" defaultRowHeight="12.75" x14ac:dyDescent="0.2"/>
  <cols>
    <col min="1" max="1" width="35.85546875" bestFit="1" customWidth="1"/>
    <col min="2" max="2" width="18.42578125" bestFit="1" customWidth="1"/>
    <col min="3" max="3" width="8.140625" bestFit="1" customWidth="1"/>
    <col min="4" max="4" width="7.5703125" bestFit="1" customWidth="1"/>
    <col min="5" max="5" width="9.28515625" bestFit="1" customWidth="1"/>
    <col min="6" max="6" width="35.85546875" bestFit="1" customWidth="1"/>
    <col min="7" max="7" width="30.7109375" bestFit="1" customWidth="1"/>
    <col min="8" max="8" width="41.85546875" bestFit="1" customWidth="1"/>
    <col min="9" max="9" width="36.7109375" bestFit="1" customWidth="1"/>
    <col min="10" max="14" width="3.28515625" bestFit="1" customWidth="1"/>
    <col min="15" max="15" width="13.85546875" bestFit="1" customWidth="1"/>
    <col min="16" max="16" width="7.5703125" bestFit="1" customWidth="1"/>
    <col min="17" max="21" width="3.28515625" bestFit="1" customWidth="1"/>
    <col min="22" max="22" width="13.28515625" bestFit="1" customWidth="1"/>
    <col min="23" max="23" width="9.28515625" bestFit="1" customWidth="1"/>
    <col min="24" max="24" width="7.5703125" bestFit="1" customWidth="1"/>
    <col min="25" max="25" width="9" bestFit="1" customWidth="1"/>
    <col min="26" max="26" width="9.28515625" bestFit="1" customWidth="1"/>
  </cols>
  <sheetData>
    <row r="3" spans="1:5" x14ac:dyDescent="0.2">
      <c r="A3" s="13" t="s">
        <v>104</v>
      </c>
      <c r="B3" s="13" t="s">
        <v>78</v>
      </c>
    </row>
    <row r="4" spans="1:5" x14ac:dyDescent="0.2">
      <c r="A4" s="13" t="s">
        <v>74</v>
      </c>
      <c r="B4" t="s">
        <v>82</v>
      </c>
      <c r="C4" t="s">
        <v>83</v>
      </c>
      <c r="D4" t="s">
        <v>81</v>
      </c>
      <c r="E4" t="s">
        <v>75</v>
      </c>
    </row>
    <row r="5" spans="1:5" x14ac:dyDescent="0.2">
      <c r="A5" s="14" t="s">
        <v>13</v>
      </c>
      <c r="B5">
        <v>1</v>
      </c>
      <c r="C5">
        <v>1</v>
      </c>
      <c r="D5">
        <v>3</v>
      </c>
      <c r="E5">
        <v>5</v>
      </c>
    </row>
    <row r="6" spans="1:5" x14ac:dyDescent="0.2">
      <c r="A6" s="14" t="s">
        <v>10</v>
      </c>
      <c r="B6">
        <v>2</v>
      </c>
      <c r="C6">
        <v>2</v>
      </c>
      <c r="E6">
        <v>4</v>
      </c>
    </row>
    <row r="7" spans="1:5" x14ac:dyDescent="0.2">
      <c r="A7" s="14" t="s">
        <v>18</v>
      </c>
      <c r="B7">
        <v>2</v>
      </c>
      <c r="C7">
        <v>2</v>
      </c>
      <c r="D7">
        <v>2</v>
      </c>
      <c r="E7">
        <v>6</v>
      </c>
    </row>
    <row r="8" spans="1:5" x14ac:dyDescent="0.2">
      <c r="A8" s="14" t="s">
        <v>31</v>
      </c>
      <c r="B8">
        <v>1</v>
      </c>
      <c r="C8">
        <v>1</v>
      </c>
      <c r="D8">
        <v>1</v>
      </c>
      <c r="E8">
        <v>3</v>
      </c>
    </row>
    <row r="9" spans="1:5" x14ac:dyDescent="0.2">
      <c r="A9" s="14" t="s">
        <v>75</v>
      </c>
      <c r="B9">
        <v>6</v>
      </c>
      <c r="C9">
        <v>6</v>
      </c>
      <c r="D9">
        <v>6</v>
      </c>
      <c r="E9">
        <v>18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503B7C-0A4C-4927-8BC8-38FB94F99F25}">
  <dimension ref="A1:D39"/>
  <sheetViews>
    <sheetView workbookViewId="0">
      <selection activeCell="D13" sqref="D13"/>
    </sheetView>
  </sheetViews>
  <sheetFormatPr baseColWidth="10" defaultRowHeight="12.75" x14ac:dyDescent="0.2"/>
  <cols>
    <col min="1" max="1" width="15.85546875" customWidth="1"/>
    <col min="3" max="3" width="19.140625" customWidth="1"/>
    <col min="4" max="4" width="129.140625" customWidth="1"/>
  </cols>
  <sheetData>
    <row r="1" spans="1:4" x14ac:dyDescent="0.2">
      <c r="A1" t="s">
        <v>76</v>
      </c>
      <c r="B1" t="s">
        <v>84</v>
      </c>
      <c r="C1" t="s">
        <v>66</v>
      </c>
      <c r="D1" t="s">
        <v>70</v>
      </c>
    </row>
    <row r="2" spans="1:4" x14ac:dyDescent="0.2">
      <c r="A2" s="38" t="s">
        <v>86</v>
      </c>
      <c r="B2" s="38" t="s">
        <v>81</v>
      </c>
      <c r="C2" s="38" t="s">
        <v>57</v>
      </c>
      <c r="D2" s="39" t="s">
        <v>30</v>
      </c>
    </row>
    <row r="3" spans="1:4" ht="25.5" x14ac:dyDescent="0.2">
      <c r="A3" s="38" t="s">
        <v>86</v>
      </c>
      <c r="B3" s="38" t="s">
        <v>82</v>
      </c>
      <c r="C3" s="38" t="s">
        <v>58</v>
      </c>
      <c r="D3" s="39" t="s">
        <v>33</v>
      </c>
    </row>
    <row r="4" spans="1:4" x14ac:dyDescent="0.2">
      <c r="A4" s="38" t="s">
        <v>86</v>
      </c>
      <c r="B4" s="38" t="s">
        <v>83</v>
      </c>
      <c r="C4" s="38" t="s">
        <v>59</v>
      </c>
      <c r="D4" s="39" t="s">
        <v>35</v>
      </c>
    </row>
    <row r="5" spans="1:4" x14ac:dyDescent="0.2">
      <c r="A5" s="38" t="s">
        <v>87</v>
      </c>
      <c r="B5" s="38" t="s">
        <v>82</v>
      </c>
      <c r="C5" s="38" t="s">
        <v>60</v>
      </c>
      <c r="D5" s="39" t="s">
        <v>37</v>
      </c>
    </row>
    <row r="6" spans="1:4" x14ac:dyDescent="0.2">
      <c r="A6" s="38" t="s">
        <v>87</v>
      </c>
      <c r="B6" s="38" t="s">
        <v>83</v>
      </c>
      <c r="C6" s="38" t="s">
        <v>61</v>
      </c>
      <c r="D6" s="39" t="s">
        <v>39</v>
      </c>
    </row>
    <row r="7" spans="1:4" x14ac:dyDescent="0.2">
      <c r="A7" s="38" t="s">
        <v>87</v>
      </c>
      <c r="B7" s="38" t="s">
        <v>81</v>
      </c>
      <c r="C7" s="38" t="s">
        <v>62</v>
      </c>
      <c r="D7" s="39" t="s">
        <v>41</v>
      </c>
    </row>
    <row r="8" spans="1:4" ht="38.25" x14ac:dyDescent="0.2">
      <c r="A8" s="38" t="s">
        <v>88</v>
      </c>
      <c r="B8" s="38" t="s">
        <v>83</v>
      </c>
      <c r="C8" s="38" t="s">
        <v>51</v>
      </c>
      <c r="D8" s="39" t="s">
        <v>17</v>
      </c>
    </row>
    <row r="9" spans="1:4" ht="51" x14ac:dyDescent="0.2">
      <c r="A9" s="38" t="s">
        <v>88</v>
      </c>
      <c r="B9" s="38" t="s">
        <v>81</v>
      </c>
      <c r="C9" s="38" t="s">
        <v>52</v>
      </c>
      <c r="D9" s="39" t="s">
        <v>20</v>
      </c>
    </row>
    <row r="10" spans="1:4" x14ac:dyDescent="0.2">
      <c r="A10" s="38" t="s">
        <v>88</v>
      </c>
      <c r="B10" s="38" t="s">
        <v>82</v>
      </c>
      <c r="C10" s="38" t="s">
        <v>53</v>
      </c>
      <c r="D10" s="39" t="s">
        <v>22</v>
      </c>
    </row>
    <row r="11" spans="1:4" x14ac:dyDescent="0.2">
      <c r="A11" s="38" t="s">
        <v>89</v>
      </c>
      <c r="B11" s="38" t="s">
        <v>83</v>
      </c>
      <c r="C11" s="38" t="s">
        <v>63</v>
      </c>
      <c r="D11" s="39" t="s">
        <v>43</v>
      </c>
    </row>
    <row r="12" spans="1:4" ht="25.5" x14ac:dyDescent="0.2">
      <c r="A12" s="38" t="s">
        <v>89</v>
      </c>
      <c r="B12" s="38" t="s">
        <v>82</v>
      </c>
      <c r="C12" s="38" t="s">
        <v>64</v>
      </c>
      <c r="D12" s="39" t="s">
        <v>45</v>
      </c>
    </row>
    <row r="13" spans="1:4" ht="25.5" x14ac:dyDescent="0.2">
      <c r="A13" s="38" t="s">
        <v>89</v>
      </c>
      <c r="B13" s="38" t="s">
        <v>81</v>
      </c>
      <c r="C13" s="38" t="s">
        <v>65</v>
      </c>
      <c r="D13" s="39" t="s">
        <v>47</v>
      </c>
    </row>
    <row r="14" spans="1:4" x14ac:dyDescent="0.2">
      <c r="A14" s="38" t="s">
        <v>90</v>
      </c>
      <c r="B14" s="38" t="s">
        <v>81</v>
      </c>
      <c r="C14" s="38" t="s">
        <v>56</v>
      </c>
      <c r="D14" s="39" t="s">
        <v>24</v>
      </c>
    </row>
    <row r="15" spans="1:4" x14ac:dyDescent="0.2">
      <c r="A15" s="38" t="s">
        <v>90</v>
      </c>
      <c r="B15" s="38" t="s">
        <v>83</v>
      </c>
      <c r="C15" s="38" t="s">
        <v>54</v>
      </c>
      <c r="D15" s="39" t="s">
        <v>26</v>
      </c>
    </row>
    <row r="16" spans="1:4" x14ac:dyDescent="0.2">
      <c r="A16" s="38" t="s">
        <v>90</v>
      </c>
      <c r="B16" s="38" t="s">
        <v>82</v>
      </c>
      <c r="C16" s="38" t="s">
        <v>55</v>
      </c>
      <c r="D16" s="39" t="s">
        <v>28</v>
      </c>
    </row>
    <row r="17" spans="1:4" x14ac:dyDescent="0.2">
      <c r="A17" s="38" t="s">
        <v>91</v>
      </c>
      <c r="B17" s="38" t="s">
        <v>82</v>
      </c>
      <c r="C17" s="38" t="s">
        <v>48</v>
      </c>
      <c r="D17" s="39" t="s">
        <v>9</v>
      </c>
    </row>
    <row r="18" spans="1:4" x14ac:dyDescent="0.2">
      <c r="A18" s="38" t="s">
        <v>91</v>
      </c>
      <c r="B18" s="38" t="s">
        <v>81</v>
      </c>
      <c r="C18" s="38" t="s">
        <v>49</v>
      </c>
      <c r="D18" s="39" t="s">
        <v>12</v>
      </c>
    </row>
    <row r="19" spans="1:4" x14ac:dyDescent="0.2">
      <c r="A19" s="38" t="s">
        <v>91</v>
      </c>
      <c r="B19" s="38" t="s">
        <v>83</v>
      </c>
      <c r="C19" s="38" t="s">
        <v>50</v>
      </c>
      <c r="D19" s="39" t="s">
        <v>15</v>
      </c>
    </row>
    <row r="21" spans="1:4" x14ac:dyDescent="0.2">
      <c r="A21" t="s">
        <v>76</v>
      </c>
      <c r="B21" t="s">
        <v>84</v>
      </c>
      <c r="C21" t="s">
        <v>66</v>
      </c>
      <c r="D21" t="s">
        <v>71</v>
      </c>
    </row>
    <row r="22" spans="1:4" ht="51" x14ac:dyDescent="0.2">
      <c r="A22" s="38" t="s">
        <v>86</v>
      </c>
      <c r="B22" s="38" t="s">
        <v>81</v>
      </c>
      <c r="C22" s="38" t="s">
        <v>57</v>
      </c>
      <c r="D22" s="39" t="s">
        <v>29</v>
      </c>
    </row>
    <row r="23" spans="1:4" ht="38.25" x14ac:dyDescent="0.2">
      <c r="A23" s="38" t="s">
        <v>86</v>
      </c>
      <c r="B23" s="38" t="s">
        <v>82</v>
      </c>
      <c r="C23" s="38" t="s">
        <v>58</v>
      </c>
      <c r="D23" s="39" t="s">
        <v>32</v>
      </c>
    </row>
    <row r="24" spans="1:4" ht="25.5" x14ac:dyDescent="0.2">
      <c r="A24" s="38" t="s">
        <v>86</v>
      </c>
      <c r="B24" s="38" t="s">
        <v>83</v>
      </c>
      <c r="C24" s="38" t="s">
        <v>59</v>
      </c>
      <c r="D24" s="39" t="s">
        <v>34</v>
      </c>
    </row>
    <row r="25" spans="1:4" ht="38.25" x14ac:dyDescent="0.2">
      <c r="A25" s="38" t="s">
        <v>87</v>
      </c>
      <c r="B25" s="38" t="s">
        <v>82</v>
      </c>
      <c r="C25" s="38" t="s">
        <v>60</v>
      </c>
      <c r="D25" s="39" t="s">
        <v>36</v>
      </c>
    </row>
    <row r="26" spans="1:4" ht="25.5" x14ac:dyDescent="0.2">
      <c r="A26" s="38" t="s">
        <v>87</v>
      </c>
      <c r="B26" s="38" t="s">
        <v>83</v>
      </c>
      <c r="C26" s="38" t="s">
        <v>61</v>
      </c>
      <c r="D26" s="39" t="s">
        <v>38</v>
      </c>
    </row>
    <row r="27" spans="1:4" ht="38.25" x14ac:dyDescent="0.2">
      <c r="A27" s="38" t="s">
        <v>87</v>
      </c>
      <c r="B27" s="38" t="s">
        <v>81</v>
      </c>
      <c r="C27" s="38" t="s">
        <v>62</v>
      </c>
      <c r="D27" s="39" t="s">
        <v>40</v>
      </c>
    </row>
    <row r="28" spans="1:4" ht="51" x14ac:dyDescent="0.2">
      <c r="A28" s="38" t="s">
        <v>88</v>
      </c>
      <c r="B28" s="38" t="s">
        <v>83</v>
      </c>
      <c r="C28" s="38" t="s">
        <v>51</v>
      </c>
      <c r="D28" s="39" t="s">
        <v>16</v>
      </c>
    </row>
    <row r="29" spans="1:4" ht="51" x14ac:dyDescent="0.2">
      <c r="A29" s="38" t="s">
        <v>88</v>
      </c>
      <c r="B29" s="38" t="s">
        <v>81</v>
      </c>
      <c r="C29" s="38" t="s">
        <v>52</v>
      </c>
      <c r="D29" s="39" t="s">
        <v>19</v>
      </c>
    </row>
    <row r="30" spans="1:4" ht="25.5" x14ac:dyDescent="0.2">
      <c r="A30" s="38" t="s">
        <v>88</v>
      </c>
      <c r="B30" s="38" t="s">
        <v>82</v>
      </c>
      <c r="C30" s="38" t="s">
        <v>53</v>
      </c>
      <c r="D30" s="39" t="s">
        <v>21</v>
      </c>
    </row>
    <row r="31" spans="1:4" ht="38.25" x14ac:dyDescent="0.2">
      <c r="A31" s="38" t="s">
        <v>89</v>
      </c>
      <c r="B31" s="38" t="s">
        <v>83</v>
      </c>
      <c r="C31" s="38" t="s">
        <v>63</v>
      </c>
      <c r="D31" s="39" t="s">
        <v>42</v>
      </c>
    </row>
    <row r="32" spans="1:4" x14ac:dyDescent="0.2">
      <c r="A32" s="38" t="s">
        <v>89</v>
      </c>
      <c r="B32" s="38" t="s">
        <v>82</v>
      </c>
      <c r="C32" s="38" t="s">
        <v>64</v>
      </c>
      <c r="D32" s="39" t="s">
        <v>44</v>
      </c>
    </row>
    <row r="33" spans="1:4" x14ac:dyDescent="0.2">
      <c r="A33" s="38" t="s">
        <v>89</v>
      </c>
      <c r="B33" s="38" t="s">
        <v>81</v>
      </c>
      <c r="C33" s="38" t="s">
        <v>65</v>
      </c>
      <c r="D33" s="39" t="s">
        <v>46</v>
      </c>
    </row>
    <row r="34" spans="1:4" ht="25.5" x14ac:dyDescent="0.2">
      <c r="A34" s="38" t="s">
        <v>90</v>
      </c>
      <c r="B34" s="38" t="s">
        <v>81</v>
      </c>
      <c r="C34" s="38" t="s">
        <v>56</v>
      </c>
      <c r="D34" s="39" t="s">
        <v>23</v>
      </c>
    </row>
    <row r="35" spans="1:4" x14ac:dyDescent="0.2">
      <c r="A35" s="38" t="s">
        <v>90</v>
      </c>
      <c r="B35" s="38" t="s">
        <v>83</v>
      </c>
      <c r="C35" s="38" t="s">
        <v>54</v>
      </c>
      <c r="D35" s="39" t="s">
        <v>25</v>
      </c>
    </row>
    <row r="36" spans="1:4" x14ac:dyDescent="0.2">
      <c r="A36" s="38" t="s">
        <v>90</v>
      </c>
      <c r="B36" s="38" t="s">
        <v>82</v>
      </c>
      <c r="C36" s="38" t="s">
        <v>55</v>
      </c>
      <c r="D36" s="39" t="s">
        <v>27</v>
      </c>
    </row>
    <row r="37" spans="1:4" ht="25.5" x14ac:dyDescent="0.2">
      <c r="A37" s="38" t="s">
        <v>91</v>
      </c>
      <c r="B37" s="38" t="s">
        <v>82</v>
      </c>
      <c r="C37" s="38" t="s">
        <v>48</v>
      </c>
      <c r="D37" s="39" t="s">
        <v>8</v>
      </c>
    </row>
    <row r="38" spans="1:4" ht="25.5" x14ac:dyDescent="0.2">
      <c r="A38" s="38" t="s">
        <v>91</v>
      </c>
      <c r="B38" s="38" t="s">
        <v>81</v>
      </c>
      <c r="C38" s="38" t="s">
        <v>49</v>
      </c>
      <c r="D38" s="39" t="s">
        <v>11</v>
      </c>
    </row>
    <row r="39" spans="1:4" ht="25.5" x14ac:dyDescent="0.2">
      <c r="A39" s="38" t="s">
        <v>91</v>
      </c>
      <c r="B39" s="38" t="s">
        <v>83</v>
      </c>
      <c r="C39" s="38" t="s">
        <v>50</v>
      </c>
      <c r="D39" s="39" t="s">
        <v>14</v>
      </c>
    </row>
  </sheetData>
  <pageMargins left="0.7" right="0.7" top="0.75" bottom="0.75" header="0.3" footer="0.3"/>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34EE99-05E6-4D6A-AB38-F15CE7EF258A}">
  <dimension ref="A1:N68"/>
  <sheetViews>
    <sheetView workbookViewId="0">
      <selection activeCell="F50" sqref="F50"/>
    </sheetView>
  </sheetViews>
  <sheetFormatPr baseColWidth="10" defaultRowHeight="12.75" x14ac:dyDescent="0.2"/>
  <cols>
    <col min="1" max="1" width="18.140625" customWidth="1"/>
    <col min="2" max="2" width="26.42578125" customWidth="1"/>
    <col min="3" max="3" width="24.28515625" customWidth="1"/>
    <col min="4" max="4" width="59.140625" customWidth="1"/>
    <col min="5" max="5" width="27.7109375" customWidth="1"/>
  </cols>
  <sheetData>
    <row r="1" spans="1:5" ht="42.75" customHeight="1" x14ac:dyDescent="0.2">
      <c r="A1" s="8" t="s">
        <v>76</v>
      </c>
      <c r="B1" s="8" t="s">
        <v>84</v>
      </c>
      <c r="C1" s="8" t="s">
        <v>67</v>
      </c>
      <c r="D1" s="8" t="s">
        <v>68</v>
      </c>
      <c r="E1" s="8"/>
    </row>
    <row r="2" spans="1:5" x14ac:dyDescent="0.2">
      <c r="A2" s="6">
        <v>1</v>
      </c>
      <c r="B2" s="6" t="s">
        <v>81</v>
      </c>
      <c r="C2" s="6">
        <v>1</v>
      </c>
      <c r="D2" s="6">
        <v>3</v>
      </c>
    </row>
    <row r="3" spans="1:5" ht="12.75" customHeight="1" x14ac:dyDescent="0.2">
      <c r="A3" s="6">
        <v>1</v>
      </c>
      <c r="B3" s="6" t="s">
        <v>82</v>
      </c>
      <c r="C3" s="6">
        <v>1</v>
      </c>
      <c r="D3" s="6">
        <v>3</v>
      </c>
    </row>
    <row r="4" spans="1:5" x14ac:dyDescent="0.2">
      <c r="A4" s="6">
        <v>1</v>
      </c>
      <c r="B4" s="6" t="s">
        <v>83</v>
      </c>
      <c r="C4" s="6">
        <v>1</v>
      </c>
      <c r="D4" s="6">
        <v>1</v>
      </c>
    </row>
    <row r="5" spans="1:5" x14ac:dyDescent="0.2">
      <c r="A5" s="6">
        <v>2</v>
      </c>
      <c r="B5" s="6" t="s">
        <v>82</v>
      </c>
      <c r="C5" s="6">
        <v>2</v>
      </c>
      <c r="D5" s="6">
        <v>2</v>
      </c>
    </row>
    <row r="6" spans="1:5" x14ac:dyDescent="0.2">
      <c r="A6" s="6">
        <v>2</v>
      </c>
      <c r="B6" s="6" t="s">
        <v>83</v>
      </c>
      <c r="C6" s="6">
        <v>2</v>
      </c>
      <c r="D6" s="6">
        <v>2</v>
      </c>
    </row>
    <row r="7" spans="1:5" x14ac:dyDescent="0.2">
      <c r="A7" s="6">
        <v>2</v>
      </c>
      <c r="B7" s="6" t="s">
        <v>81</v>
      </c>
      <c r="C7" s="6">
        <v>2</v>
      </c>
      <c r="D7" s="6">
        <v>2</v>
      </c>
    </row>
    <row r="8" spans="1:5" x14ac:dyDescent="0.2">
      <c r="A8" s="6">
        <v>3</v>
      </c>
      <c r="B8" s="6" t="s">
        <v>83</v>
      </c>
      <c r="C8" s="6">
        <v>3</v>
      </c>
      <c r="D8" s="6">
        <v>3</v>
      </c>
    </row>
    <row r="9" spans="1:5" x14ac:dyDescent="0.2">
      <c r="A9" s="6">
        <v>3</v>
      </c>
      <c r="B9" s="6" t="s">
        <v>81</v>
      </c>
      <c r="C9" s="6">
        <v>3</v>
      </c>
      <c r="D9" s="6">
        <v>3</v>
      </c>
    </row>
    <row r="10" spans="1:5" x14ac:dyDescent="0.2">
      <c r="A10" s="6">
        <v>3</v>
      </c>
      <c r="B10" s="6" t="s">
        <v>82</v>
      </c>
      <c r="C10" s="6">
        <v>3</v>
      </c>
      <c r="D10" s="6">
        <v>2</v>
      </c>
    </row>
    <row r="11" spans="1:5" x14ac:dyDescent="0.2">
      <c r="A11" s="6">
        <v>4</v>
      </c>
      <c r="B11" s="6" t="s">
        <v>83</v>
      </c>
      <c r="C11" s="6">
        <v>1</v>
      </c>
      <c r="D11" s="6">
        <v>3</v>
      </c>
    </row>
    <row r="12" spans="1:5" x14ac:dyDescent="0.2">
      <c r="A12" s="6">
        <v>4</v>
      </c>
      <c r="B12" s="6" t="s">
        <v>82</v>
      </c>
      <c r="C12" s="6">
        <v>1</v>
      </c>
      <c r="D12" s="6">
        <v>4</v>
      </c>
    </row>
    <row r="13" spans="1:5" x14ac:dyDescent="0.2">
      <c r="A13" s="6">
        <v>4</v>
      </c>
      <c r="B13" s="6" t="s">
        <v>81</v>
      </c>
      <c r="C13" s="6">
        <v>1</v>
      </c>
      <c r="D13" s="6">
        <v>5</v>
      </c>
    </row>
    <row r="14" spans="1:5" x14ac:dyDescent="0.2">
      <c r="A14" s="6">
        <v>5</v>
      </c>
      <c r="B14" s="6" t="s">
        <v>81</v>
      </c>
      <c r="C14" s="6">
        <v>2</v>
      </c>
      <c r="D14" s="6">
        <v>4</v>
      </c>
    </row>
    <row r="15" spans="1:5" x14ac:dyDescent="0.2">
      <c r="A15" s="6">
        <v>5</v>
      </c>
      <c r="B15" s="6" t="s">
        <v>83</v>
      </c>
      <c r="C15" s="6">
        <v>2</v>
      </c>
      <c r="D15" s="6">
        <v>4</v>
      </c>
    </row>
    <row r="16" spans="1:5" x14ac:dyDescent="0.2">
      <c r="A16" s="6">
        <v>5</v>
      </c>
      <c r="B16" s="6" t="s">
        <v>82</v>
      </c>
      <c r="C16" s="6">
        <v>2</v>
      </c>
      <c r="D16" s="6">
        <v>4</v>
      </c>
    </row>
    <row r="17" spans="1:14" x14ac:dyDescent="0.2">
      <c r="A17" s="6">
        <v>6</v>
      </c>
      <c r="B17" s="6" t="s">
        <v>82</v>
      </c>
      <c r="C17" s="6">
        <v>3</v>
      </c>
      <c r="D17" s="6">
        <v>2</v>
      </c>
    </row>
    <row r="18" spans="1:14" x14ac:dyDescent="0.2">
      <c r="A18" s="6">
        <v>6</v>
      </c>
      <c r="B18" s="6" t="s">
        <v>81</v>
      </c>
      <c r="C18" s="6">
        <v>3</v>
      </c>
      <c r="D18" s="6">
        <v>4</v>
      </c>
    </row>
    <row r="19" spans="1:14" ht="13.5" thickBot="1" x14ac:dyDescent="0.25">
      <c r="A19" s="6">
        <v>6</v>
      </c>
      <c r="B19" s="6" t="s">
        <v>83</v>
      </c>
      <c r="C19" s="6">
        <v>3</v>
      </c>
      <c r="D19" s="6">
        <v>2</v>
      </c>
    </row>
    <row r="20" spans="1:14" ht="28.5" customHeight="1" thickBot="1" x14ac:dyDescent="0.25">
      <c r="F20" s="49" t="s">
        <v>85</v>
      </c>
      <c r="G20" s="50"/>
      <c r="H20" s="50"/>
      <c r="I20" s="50"/>
      <c r="J20" s="50"/>
      <c r="K20" s="50"/>
      <c r="L20" s="50"/>
      <c r="M20" s="50"/>
      <c r="N20" s="51"/>
    </row>
    <row r="21" spans="1:14" ht="31.5" customHeight="1" thickBot="1" x14ac:dyDescent="0.25"/>
    <row r="22" spans="1:14" ht="13.5" thickBot="1" x14ac:dyDescent="0.25">
      <c r="A22" s="31" t="s">
        <v>81</v>
      </c>
    </row>
    <row r="23" spans="1:14" ht="39" customHeight="1" x14ac:dyDescent="0.2">
      <c r="A23" s="19" t="s">
        <v>76</v>
      </c>
      <c r="B23" s="20" t="s">
        <v>84</v>
      </c>
      <c r="C23" s="21" t="s">
        <v>68</v>
      </c>
    </row>
    <row r="24" spans="1:14" x14ac:dyDescent="0.2">
      <c r="A24" s="22" t="s">
        <v>86</v>
      </c>
      <c r="B24" s="6" t="s">
        <v>81</v>
      </c>
      <c r="C24" s="23">
        <v>3</v>
      </c>
    </row>
    <row r="25" spans="1:14" x14ac:dyDescent="0.2">
      <c r="A25" s="22" t="s">
        <v>87</v>
      </c>
      <c r="B25" s="6" t="s">
        <v>81</v>
      </c>
      <c r="C25" s="23">
        <v>2</v>
      </c>
    </row>
    <row r="26" spans="1:14" x14ac:dyDescent="0.2">
      <c r="A26" s="22" t="s">
        <v>88</v>
      </c>
      <c r="B26" s="6" t="s">
        <v>81</v>
      </c>
      <c r="C26" s="23">
        <v>3</v>
      </c>
    </row>
    <row r="27" spans="1:14" x14ac:dyDescent="0.2">
      <c r="A27" s="22" t="s">
        <v>89</v>
      </c>
      <c r="B27" s="6" t="s">
        <v>81</v>
      </c>
      <c r="C27" s="23">
        <v>5</v>
      </c>
    </row>
    <row r="28" spans="1:14" x14ac:dyDescent="0.2">
      <c r="A28" s="22" t="s">
        <v>90</v>
      </c>
      <c r="B28" s="6" t="s">
        <v>81</v>
      </c>
      <c r="C28" s="23">
        <v>4</v>
      </c>
    </row>
    <row r="29" spans="1:14" ht="13.5" thickBot="1" x14ac:dyDescent="0.25">
      <c r="A29" s="24" t="s">
        <v>91</v>
      </c>
      <c r="B29" s="25" t="s">
        <v>81</v>
      </c>
      <c r="C29" s="26">
        <v>4</v>
      </c>
    </row>
    <row r="30" spans="1:14" ht="13.5" thickBot="1" x14ac:dyDescent="0.25"/>
    <row r="31" spans="1:14" ht="13.5" thickBot="1" x14ac:dyDescent="0.25">
      <c r="A31" s="30" t="s">
        <v>82</v>
      </c>
    </row>
    <row r="32" spans="1:14" ht="36.75" customHeight="1" thickBot="1" x14ac:dyDescent="0.25">
      <c r="A32" s="19" t="s">
        <v>76</v>
      </c>
      <c r="B32" s="20" t="s">
        <v>84</v>
      </c>
      <c r="C32" s="21" t="s">
        <v>68</v>
      </c>
    </row>
    <row r="33" spans="1:14" ht="29.25" customHeight="1" thickBot="1" x14ac:dyDescent="0.25">
      <c r="A33" s="22" t="s">
        <v>86</v>
      </c>
      <c r="B33" s="6" t="s">
        <v>82</v>
      </c>
      <c r="C33" s="23">
        <v>3</v>
      </c>
      <c r="F33" s="52" t="s">
        <v>98</v>
      </c>
      <c r="G33" s="53"/>
      <c r="H33" s="53"/>
      <c r="I33" s="53"/>
      <c r="J33" s="53"/>
      <c r="K33" s="53"/>
      <c r="L33" s="53"/>
      <c r="M33" s="53"/>
      <c r="N33" s="54"/>
    </row>
    <row r="34" spans="1:14" x14ac:dyDescent="0.2">
      <c r="A34" s="22" t="s">
        <v>87</v>
      </c>
      <c r="B34" s="6" t="s">
        <v>82</v>
      </c>
      <c r="C34" s="23">
        <v>2</v>
      </c>
    </row>
    <row r="35" spans="1:14" x14ac:dyDescent="0.2">
      <c r="A35" s="22" t="s">
        <v>88</v>
      </c>
      <c r="B35" s="6" t="s">
        <v>82</v>
      </c>
      <c r="C35" s="23">
        <v>2</v>
      </c>
    </row>
    <row r="36" spans="1:14" x14ac:dyDescent="0.2">
      <c r="A36" s="22" t="s">
        <v>89</v>
      </c>
      <c r="B36" s="6" t="s">
        <v>82</v>
      </c>
      <c r="C36" s="23">
        <v>4</v>
      </c>
    </row>
    <row r="37" spans="1:14" x14ac:dyDescent="0.2">
      <c r="A37" s="22" t="s">
        <v>90</v>
      </c>
      <c r="B37" s="6" t="s">
        <v>82</v>
      </c>
      <c r="C37" s="23">
        <v>4</v>
      </c>
    </row>
    <row r="38" spans="1:14" ht="13.5" thickBot="1" x14ac:dyDescent="0.25">
      <c r="A38" s="24" t="s">
        <v>91</v>
      </c>
      <c r="B38" s="25" t="s">
        <v>82</v>
      </c>
      <c r="C38" s="26">
        <v>2</v>
      </c>
    </row>
    <row r="39" spans="1:14" ht="13.5" thickBot="1" x14ac:dyDescent="0.25"/>
    <row r="40" spans="1:14" ht="13.5" thickBot="1" x14ac:dyDescent="0.25">
      <c r="A40" s="30" t="s">
        <v>83</v>
      </c>
    </row>
    <row r="41" spans="1:14" ht="36.75" customHeight="1" x14ac:dyDescent="0.2">
      <c r="A41" s="19" t="s">
        <v>76</v>
      </c>
      <c r="B41" s="20" t="s">
        <v>84</v>
      </c>
      <c r="C41" s="21" t="s">
        <v>68</v>
      </c>
    </row>
    <row r="42" spans="1:14" x14ac:dyDescent="0.2">
      <c r="A42" s="22" t="s">
        <v>86</v>
      </c>
      <c r="B42" s="6" t="s">
        <v>83</v>
      </c>
      <c r="C42" s="23">
        <v>1</v>
      </c>
    </row>
    <row r="43" spans="1:14" x14ac:dyDescent="0.2">
      <c r="A43" s="22" t="s">
        <v>87</v>
      </c>
      <c r="B43" s="6" t="s">
        <v>83</v>
      </c>
      <c r="C43" s="23">
        <v>2</v>
      </c>
    </row>
    <row r="44" spans="1:14" x14ac:dyDescent="0.2">
      <c r="A44" s="22" t="s">
        <v>88</v>
      </c>
      <c r="B44" s="6" t="s">
        <v>83</v>
      </c>
      <c r="C44" s="23">
        <v>3</v>
      </c>
    </row>
    <row r="45" spans="1:14" x14ac:dyDescent="0.2">
      <c r="A45" s="22" t="s">
        <v>89</v>
      </c>
      <c r="B45" s="6" t="s">
        <v>83</v>
      </c>
      <c r="C45" s="23">
        <v>3</v>
      </c>
    </row>
    <row r="46" spans="1:14" x14ac:dyDescent="0.2">
      <c r="A46" s="22" t="s">
        <v>90</v>
      </c>
      <c r="B46" s="6" t="s">
        <v>83</v>
      </c>
      <c r="C46" s="23">
        <v>4</v>
      </c>
    </row>
    <row r="47" spans="1:14" ht="13.5" thickBot="1" x14ac:dyDescent="0.25">
      <c r="A47" s="24" t="s">
        <v>91</v>
      </c>
      <c r="B47" s="25" t="s">
        <v>83</v>
      </c>
      <c r="C47" s="26">
        <v>2</v>
      </c>
    </row>
    <row r="48" spans="1:14" ht="13.5" thickBot="1" x14ac:dyDescent="0.25"/>
    <row r="49" spans="1:14" ht="26.25" customHeight="1" thickBot="1" x14ac:dyDescent="0.25">
      <c r="F49" s="55" t="s">
        <v>99</v>
      </c>
      <c r="G49" s="56"/>
      <c r="H49" s="56"/>
      <c r="I49" s="56"/>
      <c r="J49" s="56"/>
      <c r="K49" s="56"/>
      <c r="L49" s="56"/>
      <c r="M49" s="56"/>
      <c r="N49" s="57"/>
    </row>
    <row r="50" spans="1:14" ht="38.25" x14ac:dyDescent="0.2">
      <c r="A50" s="19" t="s">
        <v>76</v>
      </c>
      <c r="B50" s="20" t="s">
        <v>84</v>
      </c>
      <c r="C50" s="21" t="s">
        <v>68</v>
      </c>
    </row>
    <row r="51" spans="1:14" x14ac:dyDescent="0.2">
      <c r="A51" s="22" t="s">
        <v>86</v>
      </c>
      <c r="B51" s="6" t="s">
        <v>81</v>
      </c>
      <c r="C51" s="23">
        <v>3</v>
      </c>
    </row>
    <row r="52" spans="1:14" x14ac:dyDescent="0.2">
      <c r="A52" s="22" t="s">
        <v>86</v>
      </c>
      <c r="B52" s="6" t="s">
        <v>82</v>
      </c>
      <c r="C52" s="23">
        <v>3</v>
      </c>
    </row>
    <row r="53" spans="1:14" x14ac:dyDescent="0.2">
      <c r="A53" s="22" t="s">
        <v>86</v>
      </c>
      <c r="B53" s="6" t="s">
        <v>83</v>
      </c>
      <c r="C53" s="23">
        <v>1</v>
      </c>
    </row>
    <row r="54" spans="1:14" x14ac:dyDescent="0.2">
      <c r="A54" s="22" t="s">
        <v>87</v>
      </c>
      <c r="B54" s="6" t="s">
        <v>82</v>
      </c>
      <c r="C54" s="23">
        <v>2</v>
      </c>
    </row>
    <row r="55" spans="1:14" x14ac:dyDescent="0.2">
      <c r="A55" s="22" t="s">
        <v>87</v>
      </c>
      <c r="B55" s="6" t="s">
        <v>83</v>
      </c>
      <c r="C55" s="23">
        <v>2</v>
      </c>
    </row>
    <row r="56" spans="1:14" x14ac:dyDescent="0.2">
      <c r="A56" s="22" t="s">
        <v>87</v>
      </c>
      <c r="B56" s="6" t="s">
        <v>81</v>
      </c>
      <c r="C56" s="23">
        <v>2</v>
      </c>
    </row>
    <row r="57" spans="1:14" x14ac:dyDescent="0.2">
      <c r="A57" s="22" t="s">
        <v>88</v>
      </c>
      <c r="B57" s="6" t="s">
        <v>83</v>
      </c>
      <c r="C57" s="23">
        <v>3</v>
      </c>
    </row>
    <row r="58" spans="1:14" x14ac:dyDescent="0.2">
      <c r="A58" s="22" t="s">
        <v>88</v>
      </c>
      <c r="B58" s="6" t="s">
        <v>81</v>
      </c>
      <c r="C58" s="23">
        <v>3</v>
      </c>
    </row>
    <row r="59" spans="1:14" x14ac:dyDescent="0.2">
      <c r="A59" s="22" t="s">
        <v>88</v>
      </c>
      <c r="B59" s="6" t="s">
        <v>82</v>
      </c>
      <c r="C59" s="23">
        <v>2</v>
      </c>
    </row>
    <row r="60" spans="1:14" x14ac:dyDescent="0.2">
      <c r="A60" s="22" t="s">
        <v>89</v>
      </c>
      <c r="B60" s="6" t="s">
        <v>83</v>
      </c>
      <c r="C60" s="23">
        <v>3</v>
      </c>
    </row>
    <row r="61" spans="1:14" x14ac:dyDescent="0.2">
      <c r="A61" s="22" t="s">
        <v>89</v>
      </c>
      <c r="B61" s="6" t="s">
        <v>82</v>
      </c>
      <c r="C61" s="23">
        <v>4</v>
      </c>
    </row>
    <row r="62" spans="1:14" x14ac:dyDescent="0.2">
      <c r="A62" s="22" t="s">
        <v>89</v>
      </c>
      <c r="B62" s="6" t="s">
        <v>81</v>
      </c>
      <c r="C62" s="23">
        <v>5</v>
      </c>
    </row>
    <row r="63" spans="1:14" x14ac:dyDescent="0.2">
      <c r="A63" s="22" t="s">
        <v>90</v>
      </c>
      <c r="B63" s="6" t="s">
        <v>81</v>
      </c>
      <c r="C63" s="23">
        <v>4</v>
      </c>
    </row>
    <row r="64" spans="1:14" x14ac:dyDescent="0.2">
      <c r="A64" s="22" t="s">
        <v>90</v>
      </c>
      <c r="B64" s="6" t="s">
        <v>83</v>
      </c>
      <c r="C64" s="23">
        <v>4</v>
      </c>
    </row>
    <row r="65" spans="1:3" x14ac:dyDescent="0.2">
      <c r="A65" s="22" t="s">
        <v>90</v>
      </c>
      <c r="B65" s="6" t="s">
        <v>82</v>
      </c>
      <c r="C65" s="23">
        <v>4</v>
      </c>
    </row>
    <row r="66" spans="1:3" x14ac:dyDescent="0.2">
      <c r="A66" s="22" t="s">
        <v>91</v>
      </c>
      <c r="B66" s="6" t="s">
        <v>82</v>
      </c>
      <c r="C66" s="23">
        <v>2</v>
      </c>
    </row>
    <row r="67" spans="1:3" x14ac:dyDescent="0.2">
      <c r="A67" s="22" t="s">
        <v>91</v>
      </c>
      <c r="B67" s="6" t="s">
        <v>81</v>
      </c>
      <c r="C67" s="23">
        <v>4</v>
      </c>
    </row>
    <row r="68" spans="1:3" ht="13.5" thickBot="1" x14ac:dyDescent="0.25">
      <c r="A68" s="24" t="s">
        <v>91</v>
      </c>
      <c r="B68" s="25" t="s">
        <v>83</v>
      </c>
      <c r="C68" s="26">
        <v>2</v>
      </c>
    </row>
  </sheetData>
  <mergeCells count="3">
    <mergeCell ref="F20:N20"/>
    <mergeCell ref="F33:N33"/>
    <mergeCell ref="F49:N49"/>
  </mergeCells>
  <phoneticPr fontId="5" type="noConversion"/>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6D22E-021B-4B39-A31D-8ECECC238132}">
  <dimension ref="A3:Y79"/>
  <sheetViews>
    <sheetView topLeftCell="G36" workbookViewId="0">
      <selection activeCell="H65" sqref="H65"/>
    </sheetView>
  </sheetViews>
  <sheetFormatPr baseColWidth="10" defaultRowHeight="12.75" x14ac:dyDescent="0.2"/>
  <cols>
    <col min="1" max="1" width="68.42578125" bestFit="1" customWidth="1"/>
    <col min="2" max="2" width="10.28515625" bestFit="1" customWidth="1"/>
    <col min="3" max="7" width="3.28515625" bestFit="1" customWidth="1"/>
  </cols>
  <sheetData>
    <row r="3" spans="1:7" x14ac:dyDescent="0.2">
      <c r="A3" s="12" t="s">
        <v>77</v>
      </c>
      <c r="B3" s="12" t="s">
        <v>76</v>
      </c>
      <c r="C3" s="42"/>
      <c r="D3" s="42"/>
      <c r="E3" s="42"/>
      <c r="F3" s="42"/>
      <c r="G3" s="43"/>
    </row>
    <row r="4" spans="1:7" x14ac:dyDescent="0.2">
      <c r="A4" s="12" t="s">
        <v>84</v>
      </c>
      <c r="B4" s="11" t="s">
        <v>86</v>
      </c>
      <c r="C4" s="44" t="s">
        <v>87</v>
      </c>
      <c r="D4" s="44" t="s">
        <v>88</v>
      </c>
      <c r="E4" s="44" t="s">
        <v>89</v>
      </c>
      <c r="F4" s="44" t="s">
        <v>90</v>
      </c>
      <c r="G4" s="45" t="s">
        <v>91</v>
      </c>
    </row>
    <row r="5" spans="1:7" x14ac:dyDescent="0.2">
      <c r="A5" s="11" t="s">
        <v>82</v>
      </c>
      <c r="B5" s="11">
        <v>3</v>
      </c>
      <c r="C5" s="44">
        <v>2</v>
      </c>
      <c r="D5" s="44">
        <v>2</v>
      </c>
      <c r="E5" s="44">
        <v>4</v>
      </c>
      <c r="F5" s="44">
        <v>4</v>
      </c>
      <c r="G5" s="45">
        <v>2</v>
      </c>
    </row>
    <row r="6" spans="1:7" x14ac:dyDescent="0.2">
      <c r="A6" s="17" t="s">
        <v>83</v>
      </c>
      <c r="B6" s="17">
        <v>1</v>
      </c>
      <c r="C6">
        <v>2</v>
      </c>
      <c r="D6">
        <v>3</v>
      </c>
      <c r="E6">
        <v>3</v>
      </c>
      <c r="F6">
        <v>4</v>
      </c>
      <c r="G6" s="46">
        <v>2</v>
      </c>
    </row>
    <row r="7" spans="1:7" x14ac:dyDescent="0.2">
      <c r="A7" s="18" t="s">
        <v>81</v>
      </c>
      <c r="B7" s="18">
        <v>3</v>
      </c>
      <c r="C7" s="47">
        <v>2</v>
      </c>
      <c r="D7" s="47">
        <v>3</v>
      </c>
      <c r="E7" s="47">
        <v>5</v>
      </c>
      <c r="F7" s="47">
        <v>4</v>
      </c>
      <c r="G7" s="48">
        <v>4</v>
      </c>
    </row>
    <row r="26" spans="4:17" ht="38.25" customHeight="1" x14ac:dyDescent="0.2">
      <c r="D26" s="58" t="s">
        <v>92</v>
      </c>
      <c r="E26" s="58"/>
      <c r="F26" s="58"/>
      <c r="G26" s="58"/>
      <c r="H26" s="58"/>
      <c r="I26" s="58"/>
      <c r="J26" s="58"/>
      <c r="K26" s="58"/>
      <c r="L26" s="58"/>
      <c r="M26" s="58"/>
      <c r="N26" s="58"/>
      <c r="O26" s="58"/>
      <c r="P26" s="58"/>
      <c r="Q26" s="58"/>
    </row>
    <row r="42" spans="9:9" x14ac:dyDescent="0.2">
      <c r="I42">
        <v>1</v>
      </c>
    </row>
    <row r="43" spans="9:9" x14ac:dyDescent="0.2">
      <c r="I43">
        <v>1</v>
      </c>
    </row>
    <row r="44" spans="9:9" x14ac:dyDescent="0.2">
      <c r="I44">
        <v>1</v>
      </c>
    </row>
    <row r="45" spans="9:9" x14ac:dyDescent="0.2">
      <c r="I45">
        <v>1</v>
      </c>
    </row>
    <row r="46" spans="9:9" x14ac:dyDescent="0.2">
      <c r="I46">
        <v>1</v>
      </c>
    </row>
    <row r="47" spans="9:9" x14ac:dyDescent="0.2">
      <c r="I47">
        <v>1</v>
      </c>
    </row>
    <row r="48" spans="9:9" x14ac:dyDescent="0.2">
      <c r="I48">
        <v>1</v>
      </c>
    </row>
    <row r="49" spans="9:9" x14ac:dyDescent="0.2">
      <c r="I49">
        <v>1</v>
      </c>
    </row>
    <row r="50" spans="9:9" x14ac:dyDescent="0.2">
      <c r="I50">
        <v>1</v>
      </c>
    </row>
    <row r="51" spans="9:9" x14ac:dyDescent="0.2">
      <c r="I51">
        <v>1</v>
      </c>
    </row>
    <row r="52" spans="9:9" x14ac:dyDescent="0.2">
      <c r="I52">
        <v>1</v>
      </c>
    </row>
    <row r="53" spans="9:9" x14ac:dyDescent="0.2">
      <c r="I53">
        <v>1</v>
      </c>
    </row>
    <row r="54" spans="9:9" x14ac:dyDescent="0.2">
      <c r="I54">
        <v>1</v>
      </c>
    </row>
    <row r="55" spans="9:9" x14ac:dyDescent="0.2">
      <c r="I55">
        <v>1</v>
      </c>
    </row>
    <row r="56" spans="9:9" x14ac:dyDescent="0.2">
      <c r="I56">
        <v>1</v>
      </c>
    </row>
    <row r="57" spans="9:9" x14ac:dyDescent="0.2">
      <c r="I57">
        <v>1</v>
      </c>
    </row>
    <row r="58" spans="9:9" x14ac:dyDescent="0.2">
      <c r="I58">
        <v>1</v>
      </c>
    </row>
    <row r="59" spans="9:9" x14ac:dyDescent="0.2">
      <c r="I59">
        <v>1</v>
      </c>
    </row>
    <row r="60" spans="9:9" x14ac:dyDescent="0.2">
      <c r="I60">
        <v>1</v>
      </c>
    </row>
    <row r="61" spans="9:9" x14ac:dyDescent="0.2">
      <c r="I61">
        <v>1</v>
      </c>
    </row>
    <row r="62" spans="9:9" x14ac:dyDescent="0.2">
      <c r="I62">
        <v>1</v>
      </c>
    </row>
    <row r="63" spans="9:9" x14ac:dyDescent="0.2">
      <c r="I63">
        <v>1</v>
      </c>
    </row>
    <row r="64" spans="9:9" x14ac:dyDescent="0.2">
      <c r="I64">
        <v>1</v>
      </c>
    </row>
    <row r="65" spans="9:25" x14ac:dyDescent="0.2">
      <c r="I65">
        <v>1</v>
      </c>
    </row>
    <row r="66" spans="9:25" x14ac:dyDescent="0.2">
      <c r="I66">
        <v>1</v>
      </c>
    </row>
    <row r="67" spans="9:25" x14ac:dyDescent="0.2">
      <c r="I67">
        <v>1</v>
      </c>
    </row>
    <row r="68" spans="9:25" x14ac:dyDescent="0.2">
      <c r="I68">
        <v>1</v>
      </c>
    </row>
    <row r="69" spans="9:25" x14ac:dyDescent="0.2">
      <c r="I69">
        <v>1</v>
      </c>
    </row>
    <row r="70" spans="9:25" x14ac:dyDescent="0.2">
      <c r="I70">
        <v>1</v>
      </c>
    </row>
    <row r="71" spans="9:25" x14ac:dyDescent="0.2">
      <c r="I71">
        <v>1</v>
      </c>
    </row>
    <row r="72" spans="9:25" x14ac:dyDescent="0.2">
      <c r="I72">
        <v>1</v>
      </c>
    </row>
    <row r="73" spans="9:25" x14ac:dyDescent="0.2">
      <c r="I73">
        <v>1</v>
      </c>
    </row>
    <row r="74" spans="9:25" x14ac:dyDescent="0.2">
      <c r="I74">
        <v>1</v>
      </c>
    </row>
    <row r="75" spans="9:25" x14ac:dyDescent="0.2">
      <c r="I75">
        <v>1</v>
      </c>
    </row>
    <row r="76" spans="9:25" x14ac:dyDescent="0.2">
      <c r="I76">
        <v>1</v>
      </c>
    </row>
    <row r="79" spans="9:25" x14ac:dyDescent="0.2">
      <c r="K79">
        <v>1</v>
      </c>
      <c r="L79">
        <v>1</v>
      </c>
      <c r="M79">
        <v>1</v>
      </c>
      <c r="N79">
        <v>1</v>
      </c>
      <c r="O79">
        <v>1</v>
      </c>
      <c r="P79">
        <v>1</v>
      </c>
      <c r="Q79">
        <v>1</v>
      </c>
      <c r="R79">
        <v>1</v>
      </c>
      <c r="S79">
        <v>1</v>
      </c>
      <c r="T79">
        <v>1</v>
      </c>
      <c r="U79">
        <v>1</v>
      </c>
      <c r="V79">
        <v>1</v>
      </c>
      <c r="W79">
        <v>1</v>
      </c>
      <c r="X79">
        <v>1</v>
      </c>
      <c r="Y79">
        <v>1</v>
      </c>
    </row>
  </sheetData>
  <mergeCells count="1">
    <mergeCell ref="D26:Q26"/>
  </mergeCell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B1235-E359-4353-9529-DFD4E8E30D47}">
  <dimension ref="A1:P61"/>
  <sheetViews>
    <sheetView topLeftCell="A41" workbookViewId="0">
      <selection activeCell="G70" sqref="G70"/>
    </sheetView>
  </sheetViews>
  <sheetFormatPr baseColWidth="10" defaultRowHeight="12.75" x14ac:dyDescent="0.2"/>
  <cols>
    <col min="3" max="3" width="29.140625" customWidth="1"/>
  </cols>
  <sheetData>
    <row r="1" spans="1:3" ht="40.5" customHeight="1" x14ac:dyDescent="0.2">
      <c r="A1" s="8" t="s">
        <v>76</v>
      </c>
      <c r="B1" s="8" t="s">
        <v>84</v>
      </c>
      <c r="C1" s="8" t="s">
        <v>69</v>
      </c>
    </row>
    <row r="2" spans="1:3" x14ac:dyDescent="0.2">
      <c r="A2" t="s">
        <v>86</v>
      </c>
      <c r="B2" t="s">
        <v>81</v>
      </c>
      <c r="C2">
        <v>5</v>
      </c>
    </row>
    <row r="3" spans="1:3" x14ac:dyDescent="0.2">
      <c r="A3" t="s">
        <v>86</v>
      </c>
      <c r="B3" t="s">
        <v>82</v>
      </c>
      <c r="C3">
        <v>4</v>
      </c>
    </row>
    <row r="4" spans="1:3" x14ac:dyDescent="0.2">
      <c r="A4" t="s">
        <v>86</v>
      </c>
      <c r="B4" t="s">
        <v>83</v>
      </c>
      <c r="C4">
        <v>4</v>
      </c>
    </row>
    <row r="5" spans="1:3" x14ac:dyDescent="0.2">
      <c r="A5" t="s">
        <v>87</v>
      </c>
      <c r="B5" t="s">
        <v>82</v>
      </c>
      <c r="C5">
        <v>2</v>
      </c>
    </row>
    <row r="6" spans="1:3" x14ac:dyDescent="0.2">
      <c r="A6" t="s">
        <v>87</v>
      </c>
      <c r="B6" t="s">
        <v>83</v>
      </c>
      <c r="C6">
        <v>3</v>
      </c>
    </row>
    <row r="7" spans="1:3" x14ac:dyDescent="0.2">
      <c r="A7" t="s">
        <v>87</v>
      </c>
      <c r="B7" t="s">
        <v>81</v>
      </c>
      <c r="C7">
        <v>2</v>
      </c>
    </row>
    <row r="8" spans="1:3" x14ac:dyDescent="0.2">
      <c r="A8" t="s">
        <v>88</v>
      </c>
      <c r="B8" t="s">
        <v>83</v>
      </c>
      <c r="C8">
        <v>3</v>
      </c>
    </row>
    <row r="9" spans="1:3" ht="12.75" customHeight="1" x14ac:dyDescent="0.2">
      <c r="A9" t="s">
        <v>88</v>
      </c>
      <c r="B9" t="s">
        <v>81</v>
      </c>
      <c r="C9">
        <v>2</v>
      </c>
    </row>
    <row r="10" spans="1:3" x14ac:dyDescent="0.2">
      <c r="A10" t="s">
        <v>88</v>
      </c>
      <c r="B10" t="s">
        <v>82</v>
      </c>
      <c r="C10">
        <v>2</v>
      </c>
    </row>
    <row r="11" spans="1:3" x14ac:dyDescent="0.2">
      <c r="A11" t="s">
        <v>89</v>
      </c>
      <c r="B11" t="s">
        <v>83</v>
      </c>
      <c r="C11">
        <v>3</v>
      </c>
    </row>
    <row r="12" spans="1:3" x14ac:dyDescent="0.2">
      <c r="A12" t="s">
        <v>89</v>
      </c>
      <c r="B12" t="s">
        <v>82</v>
      </c>
      <c r="C12">
        <v>4</v>
      </c>
    </row>
    <row r="13" spans="1:3" x14ac:dyDescent="0.2">
      <c r="A13" t="s">
        <v>89</v>
      </c>
      <c r="B13" t="s">
        <v>81</v>
      </c>
      <c r="C13">
        <v>5</v>
      </c>
    </row>
    <row r="14" spans="1:3" x14ac:dyDescent="0.2">
      <c r="A14" t="s">
        <v>90</v>
      </c>
      <c r="B14" t="s">
        <v>81</v>
      </c>
      <c r="C14">
        <v>4</v>
      </c>
    </row>
    <row r="15" spans="1:3" x14ac:dyDescent="0.2">
      <c r="A15" t="s">
        <v>90</v>
      </c>
      <c r="B15" t="s">
        <v>83</v>
      </c>
      <c r="C15">
        <v>4</v>
      </c>
    </row>
    <row r="16" spans="1:3" x14ac:dyDescent="0.2">
      <c r="A16" t="s">
        <v>90</v>
      </c>
      <c r="B16" t="s">
        <v>82</v>
      </c>
      <c r="C16">
        <v>4</v>
      </c>
    </row>
    <row r="17" spans="1:16" x14ac:dyDescent="0.2">
      <c r="A17" t="s">
        <v>91</v>
      </c>
      <c r="B17" t="s">
        <v>82</v>
      </c>
      <c r="C17">
        <v>3</v>
      </c>
    </row>
    <row r="18" spans="1:16" x14ac:dyDescent="0.2">
      <c r="A18" t="s">
        <v>91</v>
      </c>
      <c r="B18" t="s">
        <v>81</v>
      </c>
      <c r="C18">
        <v>4</v>
      </c>
    </row>
    <row r="19" spans="1:16" x14ac:dyDescent="0.2">
      <c r="A19" t="s">
        <v>91</v>
      </c>
      <c r="B19" t="s">
        <v>83</v>
      </c>
      <c r="C19">
        <v>3</v>
      </c>
    </row>
    <row r="21" spans="1:16" ht="13.5" thickBot="1" x14ac:dyDescent="0.25"/>
    <row r="22" spans="1:16" ht="13.5" thickBot="1" x14ac:dyDescent="0.25">
      <c r="A22" s="31" t="s">
        <v>82</v>
      </c>
    </row>
    <row r="23" spans="1:16" ht="51" customHeight="1" x14ac:dyDescent="0.2">
      <c r="A23" s="19" t="s">
        <v>76</v>
      </c>
      <c r="B23" s="21" t="s">
        <v>69</v>
      </c>
      <c r="I23" s="58" t="s">
        <v>94</v>
      </c>
      <c r="J23" s="58"/>
      <c r="K23" s="58"/>
      <c r="L23" s="58"/>
      <c r="M23" s="58"/>
      <c r="N23" s="58"/>
      <c r="O23" s="58"/>
      <c r="P23" s="58"/>
    </row>
    <row r="24" spans="1:16" x14ac:dyDescent="0.2">
      <c r="A24" s="34" t="s">
        <v>86</v>
      </c>
      <c r="B24" s="35">
        <v>4</v>
      </c>
    </row>
    <row r="25" spans="1:16" x14ac:dyDescent="0.2">
      <c r="A25" s="34" t="s">
        <v>87</v>
      </c>
      <c r="B25" s="35">
        <v>2</v>
      </c>
    </row>
    <row r="26" spans="1:16" x14ac:dyDescent="0.2">
      <c r="A26" s="34" t="s">
        <v>88</v>
      </c>
      <c r="B26" s="35">
        <v>2</v>
      </c>
    </row>
    <row r="27" spans="1:16" x14ac:dyDescent="0.2">
      <c r="A27" s="34" t="s">
        <v>89</v>
      </c>
      <c r="B27" s="35">
        <v>4</v>
      </c>
    </row>
    <row r="28" spans="1:16" x14ac:dyDescent="0.2">
      <c r="A28" s="34" t="s">
        <v>90</v>
      </c>
      <c r="B28" s="35">
        <v>4</v>
      </c>
    </row>
    <row r="29" spans="1:16" ht="13.5" thickBot="1" x14ac:dyDescent="0.25">
      <c r="A29" s="27" t="s">
        <v>91</v>
      </c>
      <c r="B29" s="29">
        <v>3</v>
      </c>
    </row>
    <row r="30" spans="1:16" ht="13.5" thickBot="1" x14ac:dyDescent="0.25"/>
    <row r="31" spans="1:16" ht="13.5" thickBot="1" x14ac:dyDescent="0.25">
      <c r="A31" s="31" t="s">
        <v>83</v>
      </c>
    </row>
    <row r="32" spans="1:16" ht="51" customHeight="1" x14ac:dyDescent="0.2">
      <c r="A32" s="19" t="s">
        <v>76</v>
      </c>
      <c r="B32" s="21" t="s">
        <v>69</v>
      </c>
    </row>
    <row r="33" spans="1:15" x14ac:dyDescent="0.2">
      <c r="A33" s="34" t="s">
        <v>86</v>
      </c>
      <c r="B33" s="35">
        <v>4</v>
      </c>
    </row>
    <row r="34" spans="1:15" x14ac:dyDescent="0.2">
      <c r="A34" s="34" t="s">
        <v>87</v>
      </c>
      <c r="B34" s="35">
        <v>3</v>
      </c>
    </row>
    <row r="35" spans="1:15" x14ac:dyDescent="0.2">
      <c r="A35" s="34" t="s">
        <v>88</v>
      </c>
      <c r="B35" s="35">
        <v>3</v>
      </c>
    </row>
    <row r="36" spans="1:15" x14ac:dyDescent="0.2">
      <c r="A36" s="34" t="s">
        <v>89</v>
      </c>
      <c r="B36" s="35">
        <v>3</v>
      </c>
    </row>
    <row r="37" spans="1:15" x14ac:dyDescent="0.2">
      <c r="A37" s="34" t="s">
        <v>90</v>
      </c>
      <c r="B37" s="35">
        <v>4</v>
      </c>
    </row>
    <row r="38" spans="1:15" ht="13.5" thickBot="1" x14ac:dyDescent="0.25">
      <c r="A38" s="27" t="s">
        <v>91</v>
      </c>
      <c r="B38" s="29">
        <v>3</v>
      </c>
    </row>
    <row r="39" spans="1:15" ht="13.5" thickBot="1" x14ac:dyDescent="0.25"/>
    <row r="40" spans="1:15" ht="13.5" thickBot="1" x14ac:dyDescent="0.25">
      <c r="A40" s="31" t="s">
        <v>81</v>
      </c>
    </row>
    <row r="41" spans="1:15" ht="51" x14ac:dyDescent="0.2">
      <c r="A41" s="19" t="s">
        <v>76</v>
      </c>
      <c r="B41" s="21" t="s">
        <v>69</v>
      </c>
      <c r="I41" s="58" t="s">
        <v>95</v>
      </c>
      <c r="J41" s="58"/>
      <c r="K41" s="58"/>
      <c r="L41" s="58"/>
      <c r="M41" s="58"/>
      <c r="N41" s="58"/>
      <c r="O41" s="58"/>
    </row>
    <row r="42" spans="1:15" x14ac:dyDescent="0.2">
      <c r="A42" s="34" t="s">
        <v>86</v>
      </c>
      <c r="B42" s="35">
        <v>5</v>
      </c>
    </row>
    <row r="43" spans="1:15" x14ac:dyDescent="0.2">
      <c r="A43" s="34" t="s">
        <v>87</v>
      </c>
      <c r="B43" s="35">
        <v>2</v>
      </c>
    </row>
    <row r="44" spans="1:15" x14ac:dyDescent="0.2">
      <c r="A44" s="34" t="s">
        <v>88</v>
      </c>
      <c r="B44" s="35">
        <v>2</v>
      </c>
    </row>
    <row r="45" spans="1:15" x14ac:dyDescent="0.2">
      <c r="A45" s="34" t="s">
        <v>89</v>
      </c>
      <c r="B45" s="35">
        <v>5</v>
      </c>
    </row>
    <row r="46" spans="1:15" x14ac:dyDescent="0.2">
      <c r="A46" s="34" t="s">
        <v>90</v>
      </c>
      <c r="B46" s="35">
        <v>4</v>
      </c>
    </row>
    <row r="47" spans="1:15" ht="13.5" thickBot="1" x14ac:dyDescent="0.25">
      <c r="A47" s="27" t="s">
        <v>91</v>
      </c>
      <c r="B47" s="29">
        <v>4</v>
      </c>
    </row>
    <row r="48" spans="1:15" ht="18" customHeight="1" x14ac:dyDescent="0.2"/>
    <row r="51" spans="2:16" ht="27" customHeight="1" x14ac:dyDescent="0.2">
      <c r="B51" s="16"/>
      <c r="C51" s="16"/>
      <c r="D51" s="16"/>
      <c r="E51" s="16"/>
      <c r="F51" s="16"/>
      <c r="G51" s="16"/>
    </row>
    <row r="61" spans="2:16" ht="33.75" customHeight="1" x14ac:dyDescent="0.2">
      <c r="I61" s="58" t="s">
        <v>96</v>
      </c>
      <c r="J61" s="58"/>
      <c r="K61" s="58"/>
      <c r="L61" s="58"/>
      <c r="M61" s="58"/>
      <c r="N61" s="58"/>
      <c r="O61" s="58"/>
      <c r="P61" s="58"/>
    </row>
  </sheetData>
  <mergeCells count="3">
    <mergeCell ref="I61:P61"/>
    <mergeCell ref="I41:O41"/>
    <mergeCell ref="I23:P23"/>
  </mergeCells>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A7957-D955-429B-A1B9-A04185ACA1CD}">
  <dimension ref="A3:AB60"/>
  <sheetViews>
    <sheetView topLeftCell="H22" workbookViewId="0">
      <selection activeCell="I38" sqref="I38"/>
    </sheetView>
  </sheetViews>
  <sheetFormatPr baseColWidth="10" defaultRowHeight="12.75" x14ac:dyDescent="0.2"/>
  <cols>
    <col min="1" max="1" width="37.5703125" bestFit="1" customWidth="1"/>
    <col min="2" max="2" width="10.28515625" bestFit="1" customWidth="1"/>
    <col min="3" max="7" width="3.28515625" bestFit="1" customWidth="1"/>
  </cols>
  <sheetData>
    <row r="3" spans="1:7" x14ac:dyDescent="0.2">
      <c r="A3" s="12" t="s">
        <v>79</v>
      </c>
      <c r="B3" s="12" t="s">
        <v>76</v>
      </c>
      <c r="C3" s="42"/>
      <c r="D3" s="42"/>
      <c r="E3" s="42"/>
      <c r="F3" s="42"/>
      <c r="G3" s="43"/>
    </row>
    <row r="4" spans="1:7" x14ac:dyDescent="0.2">
      <c r="A4" s="12" t="s">
        <v>84</v>
      </c>
      <c r="B4" s="11" t="s">
        <v>86</v>
      </c>
      <c r="C4" s="44" t="s">
        <v>87</v>
      </c>
      <c r="D4" s="44" t="s">
        <v>88</v>
      </c>
      <c r="E4" s="44" t="s">
        <v>89</v>
      </c>
      <c r="F4" s="44" t="s">
        <v>90</v>
      </c>
      <c r="G4" s="45" t="s">
        <v>91</v>
      </c>
    </row>
    <row r="5" spans="1:7" x14ac:dyDescent="0.2">
      <c r="A5" s="11" t="s">
        <v>82</v>
      </c>
      <c r="B5" s="11">
        <v>4</v>
      </c>
      <c r="C5" s="44">
        <v>2</v>
      </c>
      <c r="D5" s="44">
        <v>2</v>
      </c>
      <c r="E5" s="44">
        <v>4</v>
      </c>
      <c r="F5" s="44">
        <v>4</v>
      </c>
      <c r="G5" s="45">
        <v>3</v>
      </c>
    </row>
    <row r="6" spans="1:7" x14ac:dyDescent="0.2">
      <c r="A6" s="17" t="s">
        <v>83</v>
      </c>
      <c r="B6" s="17">
        <v>4</v>
      </c>
      <c r="C6">
        <v>3</v>
      </c>
      <c r="D6">
        <v>3</v>
      </c>
      <c r="E6">
        <v>3</v>
      </c>
      <c r="F6">
        <v>4</v>
      </c>
      <c r="G6" s="46">
        <v>3</v>
      </c>
    </row>
    <row r="7" spans="1:7" x14ac:dyDescent="0.2">
      <c r="A7" s="18" t="s">
        <v>81</v>
      </c>
      <c r="B7" s="18">
        <v>5</v>
      </c>
      <c r="C7" s="47">
        <v>2</v>
      </c>
      <c r="D7" s="47">
        <v>2</v>
      </c>
      <c r="E7" s="47">
        <v>5</v>
      </c>
      <c r="F7" s="47">
        <v>4</v>
      </c>
      <c r="G7" s="48">
        <v>4</v>
      </c>
    </row>
    <row r="21" spans="6:28" ht="13.5" thickBot="1" x14ac:dyDescent="0.25"/>
    <row r="22" spans="6:28" ht="23.25" customHeight="1" thickBot="1" x14ac:dyDescent="0.25">
      <c r="F22" s="59" t="s">
        <v>93</v>
      </c>
      <c r="G22" s="60"/>
      <c r="H22" s="60"/>
      <c r="I22" s="60"/>
      <c r="J22" s="60"/>
      <c r="K22" s="60"/>
      <c r="L22" s="60"/>
      <c r="M22" s="60"/>
      <c r="N22" s="60"/>
      <c r="O22" s="61"/>
    </row>
    <row r="24" spans="6:28" x14ac:dyDescent="0.2">
      <c r="L24">
        <v>1</v>
      </c>
      <c r="M24">
        <v>1</v>
      </c>
      <c r="N24">
        <v>1</v>
      </c>
      <c r="O24">
        <v>1</v>
      </c>
      <c r="P24">
        <v>1</v>
      </c>
      <c r="Q24">
        <v>1</v>
      </c>
      <c r="R24">
        <v>1</v>
      </c>
      <c r="S24">
        <v>1</v>
      </c>
      <c r="T24">
        <v>1</v>
      </c>
      <c r="U24">
        <v>1</v>
      </c>
      <c r="V24">
        <v>1</v>
      </c>
      <c r="W24">
        <v>1</v>
      </c>
      <c r="X24">
        <v>1</v>
      </c>
      <c r="Y24">
        <v>1</v>
      </c>
      <c r="Z24">
        <v>1</v>
      </c>
    </row>
    <row r="26" spans="6:28" x14ac:dyDescent="0.2">
      <c r="AB26">
        <v>1</v>
      </c>
    </row>
    <row r="27" spans="6:28" x14ac:dyDescent="0.2">
      <c r="AB27">
        <v>1</v>
      </c>
    </row>
    <row r="28" spans="6:28" x14ac:dyDescent="0.2">
      <c r="AB28">
        <v>1</v>
      </c>
    </row>
    <row r="29" spans="6:28" x14ac:dyDescent="0.2">
      <c r="AB29">
        <v>1</v>
      </c>
    </row>
    <row r="30" spans="6:28" x14ac:dyDescent="0.2">
      <c r="AB30">
        <v>1</v>
      </c>
    </row>
    <row r="31" spans="6:28" x14ac:dyDescent="0.2">
      <c r="AB31">
        <v>1</v>
      </c>
    </row>
    <row r="32" spans="6:28" x14ac:dyDescent="0.2">
      <c r="AB32">
        <v>1</v>
      </c>
    </row>
    <row r="33" spans="28:28" x14ac:dyDescent="0.2">
      <c r="AB33">
        <v>1</v>
      </c>
    </row>
    <row r="34" spans="28:28" x14ac:dyDescent="0.2">
      <c r="AB34">
        <v>1</v>
      </c>
    </row>
    <row r="35" spans="28:28" x14ac:dyDescent="0.2">
      <c r="AB35">
        <v>1</v>
      </c>
    </row>
    <row r="36" spans="28:28" x14ac:dyDescent="0.2">
      <c r="AB36">
        <v>1</v>
      </c>
    </row>
    <row r="37" spans="28:28" x14ac:dyDescent="0.2">
      <c r="AB37">
        <v>1</v>
      </c>
    </row>
    <row r="38" spans="28:28" x14ac:dyDescent="0.2">
      <c r="AB38">
        <v>1</v>
      </c>
    </row>
    <row r="39" spans="28:28" x14ac:dyDescent="0.2">
      <c r="AB39">
        <v>1</v>
      </c>
    </row>
    <row r="40" spans="28:28" x14ac:dyDescent="0.2">
      <c r="AB40">
        <v>1</v>
      </c>
    </row>
    <row r="41" spans="28:28" x14ac:dyDescent="0.2">
      <c r="AB41">
        <v>1</v>
      </c>
    </row>
    <row r="42" spans="28:28" x14ac:dyDescent="0.2">
      <c r="AB42">
        <v>1</v>
      </c>
    </row>
    <row r="43" spans="28:28" x14ac:dyDescent="0.2">
      <c r="AB43">
        <v>1</v>
      </c>
    </row>
    <row r="44" spans="28:28" x14ac:dyDescent="0.2">
      <c r="AB44">
        <v>1</v>
      </c>
    </row>
    <row r="45" spans="28:28" x14ac:dyDescent="0.2">
      <c r="AB45">
        <v>1</v>
      </c>
    </row>
    <row r="46" spans="28:28" x14ac:dyDescent="0.2">
      <c r="AB46">
        <v>1</v>
      </c>
    </row>
    <row r="47" spans="28:28" x14ac:dyDescent="0.2">
      <c r="AB47">
        <v>1</v>
      </c>
    </row>
    <row r="48" spans="28:28" x14ac:dyDescent="0.2">
      <c r="AB48">
        <v>1</v>
      </c>
    </row>
    <row r="49" spans="28:28" x14ac:dyDescent="0.2">
      <c r="AB49">
        <v>1</v>
      </c>
    </row>
    <row r="50" spans="28:28" x14ac:dyDescent="0.2">
      <c r="AB50">
        <v>1</v>
      </c>
    </row>
    <row r="51" spans="28:28" x14ac:dyDescent="0.2">
      <c r="AB51">
        <v>1</v>
      </c>
    </row>
    <row r="52" spans="28:28" x14ac:dyDescent="0.2">
      <c r="AB52">
        <v>1</v>
      </c>
    </row>
    <row r="53" spans="28:28" x14ac:dyDescent="0.2">
      <c r="AB53">
        <v>1</v>
      </c>
    </row>
    <row r="54" spans="28:28" x14ac:dyDescent="0.2">
      <c r="AB54">
        <v>1</v>
      </c>
    </row>
    <row r="55" spans="28:28" x14ac:dyDescent="0.2">
      <c r="AB55">
        <v>1</v>
      </c>
    </row>
    <row r="56" spans="28:28" x14ac:dyDescent="0.2">
      <c r="AB56">
        <v>1</v>
      </c>
    </row>
    <row r="57" spans="28:28" x14ac:dyDescent="0.2">
      <c r="AB57">
        <v>1</v>
      </c>
    </row>
    <row r="58" spans="28:28" x14ac:dyDescent="0.2">
      <c r="AB58">
        <v>1</v>
      </c>
    </row>
    <row r="59" spans="28:28" x14ac:dyDescent="0.2">
      <c r="AB59">
        <v>1</v>
      </c>
    </row>
    <row r="60" spans="28:28" x14ac:dyDescent="0.2">
      <c r="AB60">
        <v>1</v>
      </c>
    </row>
  </sheetData>
  <mergeCells count="1">
    <mergeCell ref="F22:O22"/>
  </mergeCell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A2723-0E9F-4A46-B8C8-77AAF469A5E9}">
  <dimension ref="A1:R60"/>
  <sheetViews>
    <sheetView topLeftCell="A41" workbookViewId="0">
      <selection activeCell="C40" sqref="C40"/>
    </sheetView>
  </sheetViews>
  <sheetFormatPr baseColWidth="10" defaultRowHeight="12.75" x14ac:dyDescent="0.2"/>
  <cols>
    <col min="3" max="3" width="36.42578125" customWidth="1"/>
  </cols>
  <sheetData>
    <row r="1" spans="1:3" ht="39" customHeight="1" x14ac:dyDescent="0.2">
      <c r="A1" s="8" t="s">
        <v>76</v>
      </c>
      <c r="B1" s="8" t="s">
        <v>84</v>
      </c>
      <c r="C1" s="8" t="s">
        <v>72</v>
      </c>
    </row>
    <row r="2" spans="1:3" x14ac:dyDescent="0.2">
      <c r="A2" t="s">
        <v>86</v>
      </c>
      <c r="B2" t="s">
        <v>81</v>
      </c>
      <c r="C2">
        <v>4</v>
      </c>
    </row>
    <row r="3" spans="1:3" x14ac:dyDescent="0.2">
      <c r="A3" t="s">
        <v>86</v>
      </c>
      <c r="B3" t="s">
        <v>82</v>
      </c>
      <c r="C3">
        <v>3</v>
      </c>
    </row>
    <row r="4" spans="1:3" x14ac:dyDescent="0.2">
      <c r="A4" t="s">
        <v>86</v>
      </c>
      <c r="B4" t="s">
        <v>83</v>
      </c>
      <c r="C4">
        <v>2</v>
      </c>
    </row>
    <row r="5" spans="1:3" x14ac:dyDescent="0.2">
      <c r="A5" t="s">
        <v>87</v>
      </c>
      <c r="B5" t="s">
        <v>82</v>
      </c>
      <c r="C5">
        <v>2</v>
      </c>
    </row>
    <row r="6" spans="1:3" x14ac:dyDescent="0.2">
      <c r="A6" t="s">
        <v>87</v>
      </c>
      <c r="B6" t="s">
        <v>83</v>
      </c>
      <c r="C6">
        <v>3</v>
      </c>
    </row>
    <row r="7" spans="1:3" x14ac:dyDescent="0.2">
      <c r="A7" t="s">
        <v>87</v>
      </c>
      <c r="B7" t="s">
        <v>81</v>
      </c>
      <c r="C7">
        <v>3</v>
      </c>
    </row>
    <row r="8" spans="1:3" x14ac:dyDescent="0.2">
      <c r="A8" t="s">
        <v>88</v>
      </c>
      <c r="B8" t="s">
        <v>83</v>
      </c>
      <c r="C8">
        <v>3</v>
      </c>
    </row>
    <row r="9" spans="1:3" x14ac:dyDescent="0.2">
      <c r="A9" t="s">
        <v>88</v>
      </c>
      <c r="B9" t="s">
        <v>81</v>
      </c>
      <c r="C9">
        <v>2</v>
      </c>
    </row>
    <row r="10" spans="1:3" x14ac:dyDescent="0.2">
      <c r="A10" t="s">
        <v>88</v>
      </c>
      <c r="B10" t="s">
        <v>82</v>
      </c>
      <c r="C10">
        <v>2</v>
      </c>
    </row>
    <row r="11" spans="1:3" x14ac:dyDescent="0.2">
      <c r="A11" t="s">
        <v>89</v>
      </c>
      <c r="B11" t="s">
        <v>83</v>
      </c>
      <c r="C11">
        <v>3</v>
      </c>
    </row>
    <row r="12" spans="1:3" x14ac:dyDescent="0.2">
      <c r="A12" t="s">
        <v>89</v>
      </c>
      <c r="B12" t="s">
        <v>82</v>
      </c>
      <c r="C12">
        <v>4</v>
      </c>
    </row>
    <row r="13" spans="1:3" x14ac:dyDescent="0.2">
      <c r="A13" t="s">
        <v>89</v>
      </c>
      <c r="B13" t="s">
        <v>81</v>
      </c>
      <c r="C13">
        <v>5</v>
      </c>
    </row>
    <row r="14" spans="1:3" x14ac:dyDescent="0.2">
      <c r="A14" t="s">
        <v>90</v>
      </c>
      <c r="B14" t="s">
        <v>81</v>
      </c>
      <c r="C14">
        <v>4</v>
      </c>
    </row>
    <row r="15" spans="1:3" x14ac:dyDescent="0.2">
      <c r="A15" t="s">
        <v>90</v>
      </c>
      <c r="B15" t="s">
        <v>83</v>
      </c>
      <c r="C15">
        <v>5</v>
      </c>
    </row>
    <row r="16" spans="1:3" x14ac:dyDescent="0.2">
      <c r="A16" t="s">
        <v>90</v>
      </c>
      <c r="B16" t="s">
        <v>82</v>
      </c>
      <c r="C16">
        <v>4</v>
      </c>
    </row>
    <row r="17" spans="1:16" x14ac:dyDescent="0.2">
      <c r="A17" t="s">
        <v>91</v>
      </c>
      <c r="B17" t="s">
        <v>82</v>
      </c>
      <c r="C17">
        <v>2</v>
      </c>
    </row>
    <row r="18" spans="1:16" x14ac:dyDescent="0.2">
      <c r="A18" t="s">
        <v>91</v>
      </c>
      <c r="B18" t="s">
        <v>81</v>
      </c>
      <c r="C18">
        <v>4</v>
      </c>
    </row>
    <row r="19" spans="1:16" x14ac:dyDescent="0.2">
      <c r="A19" t="s">
        <v>91</v>
      </c>
      <c r="B19" t="s">
        <v>83</v>
      </c>
      <c r="C19">
        <v>2</v>
      </c>
    </row>
    <row r="20" spans="1:16" ht="37.5" customHeight="1" thickBot="1" x14ac:dyDescent="0.25">
      <c r="I20" s="58" t="s">
        <v>100</v>
      </c>
      <c r="J20" s="58"/>
      <c r="K20" s="58"/>
      <c r="L20" s="58"/>
      <c r="M20" s="58"/>
      <c r="N20" s="58"/>
      <c r="O20" s="58"/>
      <c r="P20" s="58"/>
    </row>
    <row r="21" spans="1:16" ht="15.75" customHeight="1" thickBot="1" x14ac:dyDescent="0.25">
      <c r="A21" s="37" t="s">
        <v>82</v>
      </c>
    </row>
    <row r="22" spans="1:16" x14ac:dyDescent="0.2">
      <c r="A22" s="32" t="s">
        <v>76</v>
      </c>
      <c r="B22" s="36" t="s">
        <v>84</v>
      </c>
      <c r="C22" s="33" t="s">
        <v>72</v>
      </c>
    </row>
    <row r="23" spans="1:16" x14ac:dyDescent="0.2">
      <c r="A23" s="34" t="s">
        <v>86</v>
      </c>
      <c r="B23" t="s">
        <v>82</v>
      </c>
      <c r="C23" s="35">
        <v>3</v>
      </c>
    </row>
    <row r="24" spans="1:16" x14ac:dyDescent="0.2">
      <c r="A24" s="34" t="s">
        <v>87</v>
      </c>
      <c r="B24" t="s">
        <v>82</v>
      </c>
      <c r="C24" s="35">
        <v>2</v>
      </c>
    </row>
    <row r="25" spans="1:16" x14ac:dyDescent="0.2">
      <c r="A25" s="34" t="s">
        <v>88</v>
      </c>
      <c r="B25" t="s">
        <v>82</v>
      </c>
      <c r="C25" s="35">
        <v>2</v>
      </c>
    </row>
    <row r="26" spans="1:16" x14ac:dyDescent="0.2">
      <c r="A26" s="34" t="s">
        <v>89</v>
      </c>
      <c r="B26" t="s">
        <v>82</v>
      </c>
      <c r="C26" s="35">
        <v>4</v>
      </c>
    </row>
    <row r="27" spans="1:16" x14ac:dyDescent="0.2">
      <c r="A27" s="34" t="s">
        <v>90</v>
      </c>
      <c r="B27" t="s">
        <v>82</v>
      </c>
      <c r="C27" s="35">
        <v>4</v>
      </c>
    </row>
    <row r="28" spans="1:16" ht="13.5" thickBot="1" x14ac:dyDescent="0.25">
      <c r="A28" s="27" t="s">
        <v>91</v>
      </c>
      <c r="B28" s="28" t="s">
        <v>82</v>
      </c>
      <c r="C28" s="29">
        <v>2</v>
      </c>
    </row>
    <row r="29" spans="1:16" ht="13.5" thickBot="1" x14ac:dyDescent="0.25"/>
    <row r="30" spans="1:16" ht="13.5" thickBot="1" x14ac:dyDescent="0.25">
      <c r="A30" s="37" t="s">
        <v>83</v>
      </c>
    </row>
    <row r="31" spans="1:16" x14ac:dyDescent="0.2">
      <c r="A31" s="32" t="s">
        <v>76</v>
      </c>
      <c r="B31" s="36" t="s">
        <v>84</v>
      </c>
      <c r="C31" s="33" t="s">
        <v>72</v>
      </c>
    </row>
    <row r="32" spans="1:16" x14ac:dyDescent="0.2">
      <c r="A32" s="34" t="s">
        <v>86</v>
      </c>
      <c r="B32" t="s">
        <v>83</v>
      </c>
      <c r="C32" s="35">
        <v>2</v>
      </c>
    </row>
    <row r="33" spans="1:18" x14ac:dyDescent="0.2">
      <c r="A33" s="34" t="s">
        <v>87</v>
      </c>
      <c r="B33" t="s">
        <v>83</v>
      </c>
      <c r="C33" s="35">
        <v>3</v>
      </c>
    </row>
    <row r="34" spans="1:18" x14ac:dyDescent="0.2">
      <c r="A34" s="34" t="s">
        <v>88</v>
      </c>
      <c r="B34" t="s">
        <v>83</v>
      </c>
      <c r="C34" s="35">
        <v>3</v>
      </c>
    </row>
    <row r="35" spans="1:18" x14ac:dyDescent="0.2">
      <c r="A35" s="34" t="s">
        <v>89</v>
      </c>
      <c r="B35" t="s">
        <v>83</v>
      </c>
      <c r="C35" s="35">
        <v>3</v>
      </c>
    </row>
    <row r="36" spans="1:18" x14ac:dyDescent="0.2">
      <c r="A36" s="34" t="s">
        <v>90</v>
      </c>
      <c r="B36" t="s">
        <v>83</v>
      </c>
      <c r="C36" s="35">
        <v>5</v>
      </c>
    </row>
    <row r="37" spans="1:18" ht="18.75" thickBot="1" x14ac:dyDescent="0.25">
      <c r="A37" s="27" t="s">
        <v>91</v>
      </c>
      <c r="B37" s="28" t="s">
        <v>83</v>
      </c>
      <c r="C37" s="29">
        <v>2</v>
      </c>
      <c r="P37" s="15"/>
      <c r="Q37" s="15"/>
      <c r="R37" s="15"/>
    </row>
    <row r="38" spans="1:18" ht="13.5" thickBot="1" x14ac:dyDescent="0.25"/>
    <row r="39" spans="1:18" ht="13.5" thickBot="1" x14ac:dyDescent="0.25">
      <c r="A39" s="37" t="s">
        <v>81</v>
      </c>
    </row>
    <row r="40" spans="1:18" x14ac:dyDescent="0.2">
      <c r="A40" s="32" t="s">
        <v>76</v>
      </c>
      <c r="B40" s="36" t="s">
        <v>84</v>
      </c>
      <c r="C40" s="33" t="s">
        <v>72</v>
      </c>
    </row>
    <row r="41" spans="1:18" ht="28.5" customHeight="1" x14ac:dyDescent="0.2">
      <c r="A41" s="34" t="s">
        <v>86</v>
      </c>
      <c r="B41" t="s">
        <v>81</v>
      </c>
      <c r="C41" s="35">
        <v>4</v>
      </c>
      <c r="I41" s="58" t="s">
        <v>101</v>
      </c>
      <c r="J41" s="58"/>
      <c r="K41" s="58"/>
      <c r="L41" s="58"/>
      <c r="M41" s="58"/>
      <c r="N41" s="58"/>
      <c r="O41" s="58"/>
      <c r="P41" s="58"/>
    </row>
    <row r="42" spans="1:18" x14ac:dyDescent="0.2">
      <c r="A42" s="34" t="s">
        <v>87</v>
      </c>
      <c r="B42" t="s">
        <v>81</v>
      </c>
      <c r="C42" s="35">
        <v>3</v>
      </c>
    </row>
    <row r="43" spans="1:18" x14ac:dyDescent="0.2">
      <c r="A43" s="34" t="s">
        <v>88</v>
      </c>
      <c r="B43" t="s">
        <v>81</v>
      </c>
      <c r="C43" s="35">
        <v>2</v>
      </c>
    </row>
    <row r="44" spans="1:18" x14ac:dyDescent="0.2">
      <c r="A44" s="34" t="s">
        <v>89</v>
      </c>
      <c r="B44" t="s">
        <v>81</v>
      </c>
      <c r="C44" s="35">
        <v>5</v>
      </c>
    </row>
    <row r="45" spans="1:18" x14ac:dyDescent="0.2">
      <c r="A45" s="34" t="s">
        <v>90</v>
      </c>
      <c r="B45" t="s">
        <v>81</v>
      </c>
      <c r="C45" s="35">
        <v>4</v>
      </c>
    </row>
    <row r="46" spans="1:18" ht="13.5" thickBot="1" x14ac:dyDescent="0.25">
      <c r="A46" s="27" t="s">
        <v>91</v>
      </c>
      <c r="B46" s="28" t="s">
        <v>81</v>
      </c>
      <c r="C46" s="29">
        <v>4</v>
      </c>
    </row>
    <row r="51" spans="3:18" ht="18" customHeight="1" x14ac:dyDescent="0.2">
      <c r="C51" s="16"/>
      <c r="D51" s="16"/>
      <c r="E51" s="16"/>
      <c r="F51" s="16"/>
      <c r="G51" s="7"/>
    </row>
    <row r="54" spans="3:18" ht="18" x14ac:dyDescent="0.2">
      <c r="P54" s="15"/>
      <c r="Q54" s="15"/>
      <c r="R54" s="15"/>
    </row>
    <row r="60" spans="3:18" ht="26.25" customHeight="1" x14ac:dyDescent="0.2">
      <c r="I60" s="58" t="s">
        <v>102</v>
      </c>
      <c r="J60" s="58"/>
      <c r="K60" s="58"/>
      <c r="L60" s="58"/>
      <c r="M60" s="58"/>
      <c r="N60" s="58"/>
      <c r="O60" s="58"/>
      <c r="P60" s="58"/>
    </row>
  </sheetData>
  <mergeCells count="3">
    <mergeCell ref="I20:P20"/>
    <mergeCell ref="I41:P41"/>
    <mergeCell ref="I60:P60"/>
  </mergeCells>
  <pageMargins left="0.7" right="0.7" top="0.75" bottom="0.75" header="0.3" footer="0.3"/>
  <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D63749-13D2-4385-BD4C-1885A05423C5}">
  <dimension ref="A3:W60"/>
  <sheetViews>
    <sheetView topLeftCell="B19" workbookViewId="0">
      <selection activeCell="F26" sqref="E26:F60"/>
    </sheetView>
  </sheetViews>
  <sheetFormatPr baseColWidth="10" defaultRowHeight="12.75" x14ac:dyDescent="0.2"/>
  <cols>
    <col min="1" max="1" width="45" bestFit="1" customWidth="1"/>
    <col min="2" max="2" width="10.28515625" bestFit="1" customWidth="1"/>
    <col min="3" max="7" width="3.28515625" bestFit="1" customWidth="1"/>
  </cols>
  <sheetData>
    <row r="3" spans="1:17" x14ac:dyDescent="0.2">
      <c r="A3" s="12" t="s">
        <v>80</v>
      </c>
      <c r="B3" s="12" t="s">
        <v>76</v>
      </c>
      <c r="C3" s="42"/>
      <c r="D3" s="42"/>
      <c r="E3" s="42"/>
      <c r="F3" s="42"/>
      <c r="G3" s="43"/>
    </row>
    <row r="4" spans="1:17" x14ac:dyDescent="0.2">
      <c r="A4" s="12" t="s">
        <v>84</v>
      </c>
      <c r="B4" s="11" t="s">
        <v>86</v>
      </c>
      <c r="C4" s="44" t="s">
        <v>87</v>
      </c>
      <c r="D4" s="44" t="s">
        <v>88</v>
      </c>
      <c r="E4" s="44" t="s">
        <v>89</v>
      </c>
      <c r="F4" s="44" t="s">
        <v>90</v>
      </c>
      <c r="G4" s="45" t="s">
        <v>91</v>
      </c>
    </row>
    <row r="5" spans="1:17" x14ac:dyDescent="0.2">
      <c r="A5" s="11" t="s">
        <v>82</v>
      </c>
      <c r="B5" s="11">
        <v>3</v>
      </c>
      <c r="C5" s="44">
        <v>2</v>
      </c>
      <c r="D5" s="44">
        <v>2</v>
      </c>
      <c r="E5" s="44">
        <v>4</v>
      </c>
      <c r="F5" s="44">
        <v>4</v>
      </c>
      <c r="G5" s="45">
        <v>2</v>
      </c>
    </row>
    <row r="6" spans="1:17" x14ac:dyDescent="0.2">
      <c r="A6" s="17" t="s">
        <v>83</v>
      </c>
      <c r="B6" s="17">
        <v>2</v>
      </c>
      <c r="C6">
        <v>3</v>
      </c>
      <c r="D6">
        <v>3</v>
      </c>
      <c r="E6">
        <v>3</v>
      </c>
      <c r="F6">
        <v>5</v>
      </c>
      <c r="G6" s="46">
        <v>2</v>
      </c>
    </row>
    <row r="7" spans="1:17" x14ac:dyDescent="0.2">
      <c r="A7" s="18" t="s">
        <v>81</v>
      </c>
      <c r="B7" s="18">
        <v>4</v>
      </c>
      <c r="C7" s="47">
        <v>3</v>
      </c>
      <c r="D7" s="47">
        <v>2</v>
      </c>
      <c r="E7" s="47">
        <v>5</v>
      </c>
      <c r="F7" s="47">
        <v>4</v>
      </c>
      <c r="G7" s="48">
        <v>4</v>
      </c>
    </row>
    <row r="9" spans="1:17" ht="18" x14ac:dyDescent="0.2">
      <c r="H9" s="58" t="s">
        <v>97</v>
      </c>
      <c r="I9" s="58"/>
      <c r="J9" s="58"/>
      <c r="K9" s="58"/>
      <c r="L9" s="58"/>
      <c r="M9" s="58"/>
      <c r="N9" s="58"/>
      <c r="O9" s="58"/>
      <c r="P9" s="58"/>
      <c r="Q9" s="58"/>
    </row>
    <row r="23" spans="6:23" x14ac:dyDescent="0.2">
      <c r="I23">
        <v>1</v>
      </c>
      <c r="J23">
        <v>1</v>
      </c>
      <c r="K23">
        <v>1</v>
      </c>
      <c r="L23">
        <v>1</v>
      </c>
      <c r="M23">
        <v>1</v>
      </c>
      <c r="N23">
        <v>1</v>
      </c>
      <c r="O23">
        <v>1</v>
      </c>
      <c r="P23">
        <v>1</v>
      </c>
      <c r="Q23">
        <v>1</v>
      </c>
      <c r="R23">
        <v>1</v>
      </c>
      <c r="S23">
        <v>1</v>
      </c>
      <c r="T23">
        <v>1</v>
      </c>
      <c r="U23">
        <v>1</v>
      </c>
      <c r="V23">
        <v>1</v>
      </c>
      <c r="W23">
        <v>1</v>
      </c>
    </row>
    <row r="26" spans="6:23" x14ac:dyDescent="0.2">
      <c r="F26">
        <v>1</v>
      </c>
    </row>
    <row r="27" spans="6:23" x14ac:dyDescent="0.2">
      <c r="F27">
        <v>1</v>
      </c>
    </row>
    <row r="28" spans="6:23" x14ac:dyDescent="0.2">
      <c r="F28">
        <v>1</v>
      </c>
    </row>
    <row r="29" spans="6:23" x14ac:dyDescent="0.2">
      <c r="F29">
        <v>1</v>
      </c>
    </row>
    <row r="30" spans="6:23" x14ac:dyDescent="0.2">
      <c r="F30">
        <v>1</v>
      </c>
    </row>
    <row r="31" spans="6:23" x14ac:dyDescent="0.2">
      <c r="F31">
        <v>1</v>
      </c>
    </row>
    <row r="32" spans="6:23" x14ac:dyDescent="0.2">
      <c r="F32">
        <v>1</v>
      </c>
    </row>
    <row r="33" spans="6:6" x14ac:dyDescent="0.2">
      <c r="F33">
        <v>1</v>
      </c>
    </row>
    <row r="34" spans="6:6" x14ac:dyDescent="0.2">
      <c r="F34">
        <v>1</v>
      </c>
    </row>
    <row r="35" spans="6:6" x14ac:dyDescent="0.2">
      <c r="F35">
        <v>1</v>
      </c>
    </row>
    <row r="36" spans="6:6" x14ac:dyDescent="0.2">
      <c r="F36">
        <v>1</v>
      </c>
    </row>
    <row r="37" spans="6:6" x14ac:dyDescent="0.2">
      <c r="F37">
        <v>1</v>
      </c>
    </row>
    <row r="38" spans="6:6" x14ac:dyDescent="0.2">
      <c r="F38">
        <v>1</v>
      </c>
    </row>
    <row r="39" spans="6:6" x14ac:dyDescent="0.2">
      <c r="F39">
        <v>1</v>
      </c>
    </row>
    <row r="40" spans="6:6" x14ac:dyDescent="0.2">
      <c r="F40">
        <v>1</v>
      </c>
    </row>
    <row r="41" spans="6:6" x14ac:dyDescent="0.2">
      <c r="F41">
        <v>1</v>
      </c>
    </row>
    <row r="42" spans="6:6" x14ac:dyDescent="0.2">
      <c r="F42">
        <v>1</v>
      </c>
    </row>
    <row r="43" spans="6:6" x14ac:dyDescent="0.2">
      <c r="F43">
        <v>1</v>
      </c>
    </row>
    <row r="44" spans="6:6" x14ac:dyDescent="0.2">
      <c r="F44">
        <v>1</v>
      </c>
    </row>
    <row r="45" spans="6:6" x14ac:dyDescent="0.2">
      <c r="F45">
        <v>1</v>
      </c>
    </row>
    <row r="46" spans="6:6" x14ac:dyDescent="0.2">
      <c r="F46">
        <v>1</v>
      </c>
    </row>
    <row r="47" spans="6:6" x14ac:dyDescent="0.2">
      <c r="F47">
        <v>1</v>
      </c>
    </row>
    <row r="48" spans="6:6" x14ac:dyDescent="0.2">
      <c r="F48">
        <v>1</v>
      </c>
    </row>
    <row r="49" spans="6:6" x14ac:dyDescent="0.2">
      <c r="F49">
        <v>1</v>
      </c>
    </row>
    <row r="50" spans="6:6" x14ac:dyDescent="0.2">
      <c r="F50">
        <v>1</v>
      </c>
    </row>
    <row r="51" spans="6:6" x14ac:dyDescent="0.2">
      <c r="F51">
        <v>1</v>
      </c>
    </row>
    <row r="52" spans="6:6" x14ac:dyDescent="0.2">
      <c r="F52">
        <v>1</v>
      </c>
    </row>
    <row r="53" spans="6:6" x14ac:dyDescent="0.2">
      <c r="F53">
        <v>1</v>
      </c>
    </row>
    <row r="54" spans="6:6" x14ac:dyDescent="0.2">
      <c r="F54">
        <v>1</v>
      </c>
    </row>
    <row r="55" spans="6:6" x14ac:dyDescent="0.2">
      <c r="F55">
        <v>1</v>
      </c>
    </row>
    <row r="56" spans="6:6" x14ac:dyDescent="0.2">
      <c r="F56">
        <v>1</v>
      </c>
    </row>
    <row r="57" spans="6:6" x14ac:dyDescent="0.2">
      <c r="F57">
        <v>1</v>
      </c>
    </row>
    <row r="58" spans="6:6" x14ac:dyDescent="0.2">
      <c r="F58">
        <v>1</v>
      </c>
    </row>
    <row r="59" spans="6:6" x14ac:dyDescent="0.2">
      <c r="F59">
        <v>1</v>
      </c>
    </row>
    <row r="60" spans="6:6" x14ac:dyDescent="0.2">
      <c r="F60">
        <v>1</v>
      </c>
    </row>
  </sheetData>
  <mergeCells count="1">
    <mergeCell ref="H9:Q9"/>
  </mergeCells>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21"/>
  <sheetViews>
    <sheetView zoomScale="70" zoomScaleNormal="70" workbookViewId="0">
      <pane ySplit="1" topLeftCell="A2" activePane="bottomLeft" state="frozen"/>
      <selection pane="bottomLeft" activeCell="J11" sqref="J11"/>
    </sheetView>
  </sheetViews>
  <sheetFormatPr baseColWidth="10" defaultColWidth="12.5703125" defaultRowHeight="15.75" customHeight="1" x14ac:dyDescent="0.2"/>
  <cols>
    <col min="1" max="1" width="25.140625" customWidth="1"/>
    <col min="2" max="8" width="37.5703125" customWidth="1"/>
    <col min="9" max="14" width="18.85546875" customWidth="1"/>
  </cols>
  <sheetData>
    <row r="1" spans="1:8" ht="120.75" customHeight="1" x14ac:dyDescent="0.2">
      <c r="A1" s="5" t="s">
        <v>0</v>
      </c>
      <c r="B1" s="5" t="s">
        <v>1</v>
      </c>
      <c r="C1" s="5" t="s">
        <v>2</v>
      </c>
      <c r="D1" s="5" t="s">
        <v>3</v>
      </c>
      <c r="E1" s="5" t="s">
        <v>4</v>
      </c>
      <c r="F1" s="5" t="s">
        <v>5</v>
      </c>
      <c r="G1" s="5" t="s">
        <v>6</v>
      </c>
      <c r="H1" s="5" t="s">
        <v>7</v>
      </c>
    </row>
    <row r="2" spans="1:8" ht="22.5" customHeight="1" x14ac:dyDescent="0.2">
      <c r="A2" s="3">
        <v>46134.663168750005</v>
      </c>
      <c r="B2" s="4" t="s">
        <v>48</v>
      </c>
      <c r="C2" s="2">
        <v>2</v>
      </c>
      <c r="D2" s="1" t="s">
        <v>8</v>
      </c>
      <c r="E2" s="2">
        <v>3</v>
      </c>
      <c r="F2" s="1" t="s">
        <v>9</v>
      </c>
      <c r="G2" s="2">
        <v>2</v>
      </c>
      <c r="H2" s="1" t="s">
        <v>10</v>
      </c>
    </row>
    <row r="3" spans="1:8" ht="22.5" customHeight="1" x14ac:dyDescent="0.2">
      <c r="A3" s="3">
        <v>46134.668611712965</v>
      </c>
      <c r="B3" s="4" t="s">
        <v>49</v>
      </c>
      <c r="C3" s="2">
        <v>4</v>
      </c>
      <c r="D3" s="1" t="s">
        <v>11</v>
      </c>
      <c r="E3" s="2">
        <v>4</v>
      </c>
      <c r="F3" s="1" t="s">
        <v>12</v>
      </c>
      <c r="G3" s="2">
        <v>4</v>
      </c>
      <c r="H3" s="1" t="s">
        <v>13</v>
      </c>
    </row>
    <row r="4" spans="1:8" ht="22.5" customHeight="1" x14ac:dyDescent="0.2">
      <c r="A4" s="3">
        <v>46134.674977523144</v>
      </c>
      <c r="B4" s="4" t="s">
        <v>50</v>
      </c>
      <c r="C4" s="2">
        <v>2</v>
      </c>
      <c r="D4" s="1" t="s">
        <v>14</v>
      </c>
      <c r="E4" s="2">
        <v>3</v>
      </c>
      <c r="F4" s="1" t="s">
        <v>15</v>
      </c>
      <c r="G4" s="2">
        <v>2</v>
      </c>
      <c r="H4" s="1" t="s">
        <v>10</v>
      </c>
    </row>
    <row r="5" spans="1:8" ht="22.5" customHeight="1" x14ac:dyDescent="0.2">
      <c r="A5" s="3">
        <v>46139.572014768521</v>
      </c>
      <c r="B5" s="4" t="s">
        <v>51</v>
      </c>
      <c r="C5" s="2">
        <v>3</v>
      </c>
      <c r="D5" s="1" t="s">
        <v>16</v>
      </c>
      <c r="E5" s="2">
        <v>3</v>
      </c>
      <c r="F5" s="1" t="s">
        <v>17</v>
      </c>
      <c r="G5" s="2">
        <v>3</v>
      </c>
      <c r="H5" s="1" t="s">
        <v>18</v>
      </c>
    </row>
    <row r="6" spans="1:8" ht="22.5" customHeight="1" x14ac:dyDescent="0.2">
      <c r="A6" s="3">
        <v>46139.584784722218</v>
      </c>
      <c r="B6" s="4" t="s">
        <v>52</v>
      </c>
      <c r="C6" s="2">
        <v>3</v>
      </c>
      <c r="D6" s="1" t="s">
        <v>19</v>
      </c>
      <c r="E6" s="2">
        <v>2</v>
      </c>
      <c r="F6" s="1" t="s">
        <v>20</v>
      </c>
      <c r="G6" s="2">
        <v>2</v>
      </c>
      <c r="H6" s="1" t="s">
        <v>18</v>
      </c>
    </row>
    <row r="7" spans="1:8" ht="22.5" customHeight="1" x14ac:dyDescent="0.2">
      <c r="A7" s="3">
        <v>46139.586834664355</v>
      </c>
      <c r="B7" s="4" t="s">
        <v>53</v>
      </c>
      <c r="C7" s="2">
        <v>2</v>
      </c>
      <c r="D7" s="1" t="s">
        <v>21</v>
      </c>
      <c r="E7" s="2">
        <v>2</v>
      </c>
      <c r="F7" s="1" t="s">
        <v>22</v>
      </c>
      <c r="G7" s="2">
        <v>2</v>
      </c>
      <c r="H7" s="1" t="s">
        <v>18</v>
      </c>
    </row>
    <row r="8" spans="1:8" ht="22.5" customHeight="1" x14ac:dyDescent="0.2">
      <c r="A8" s="3">
        <v>46140.509755590276</v>
      </c>
      <c r="B8" s="4" t="s">
        <v>56</v>
      </c>
      <c r="C8" s="2">
        <v>4</v>
      </c>
      <c r="D8" s="1" t="s">
        <v>23</v>
      </c>
      <c r="E8" s="2">
        <v>4</v>
      </c>
      <c r="F8" s="1" t="s">
        <v>24</v>
      </c>
      <c r="G8" s="2">
        <v>4</v>
      </c>
      <c r="H8" s="1" t="s">
        <v>13</v>
      </c>
    </row>
    <row r="9" spans="1:8" ht="22.5" customHeight="1" x14ac:dyDescent="0.2">
      <c r="A9" s="3">
        <v>46140.51467819445</v>
      </c>
      <c r="B9" s="4" t="s">
        <v>54</v>
      </c>
      <c r="C9" s="2">
        <v>4</v>
      </c>
      <c r="D9" s="1" t="s">
        <v>25</v>
      </c>
      <c r="E9" s="2">
        <v>4</v>
      </c>
      <c r="F9" s="1" t="s">
        <v>26</v>
      </c>
      <c r="G9" s="2">
        <v>5</v>
      </c>
      <c r="H9" s="1" t="s">
        <v>13</v>
      </c>
    </row>
    <row r="10" spans="1:8" ht="22.5" customHeight="1" x14ac:dyDescent="0.2">
      <c r="A10" s="3">
        <v>46140.517945347223</v>
      </c>
      <c r="B10" s="4" t="s">
        <v>55</v>
      </c>
      <c r="C10" s="2">
        <v>4</v>
      </c>
      <c r="D10" s="1" t="s">
        <v>27</v>
      </c>
      <c r="E10" s="2">
        <v>4</v>
      </c>
      <c r="F10" s="1" t="s">
        <v>28</v>
      </c>
      <c r="G10" s="2">
        <v>4</v>
      </c>
      <c r="H10" s="1" t="s">
        <v>10</v>
      </c>
    </row>
    <row r="11" spans="1:8" ht="22.5" customHeight="1" x14ac:dyDescent="0.2">
      <c r="A11" s="3">
        <v>46140.641709872682</v>
      </c>
      <c r="B11" s="4" t="s">
        <v>57</v>
      </c>
      <c r="C11" s="2">
        <v>3</v>
      </c>
      <c r="D11" s="1" t="s">
        <v>29</v>
      </c>
      <c r="E11" s="2">
        <v>5</v>
      </c>
      <c r="F11" s="1" t="s">
        <v>30</v>
      </c>
      <c r="G11" s="2">
        <v>4</v>
      </c>
      <c r="H11" s="1" t="s">
        <v>31</v>
      </c>
    </row>
    <row r="12" spans="1:8" ht="22.5" customHeight="1" x14ac:dyDescent="0.2">
      <c r="A12" s="3">
        <v>46140.652836053239</v>
      </c>
      <c r="B12" s="4" t="s">
        <v>58</v>
      </c>
      <c r="C12" s="2">
        <v>3</v>
      </c>
      <c r="D12" s="1" t="s">
        <v>32</v>
      </c>
      <c r="E12" s="2">
        <v>4</v>
      </c>
      <c r="F12" s="1" t="s">
        <v>33</v>
      </c>
      <c r="G12" s="2">
        <v>3</v>
      </c>
      <c r="H12" s="1" t="s">
        <v>31</v>
      </c>
    </row>
    <row r="13" spans="1:8" ht="22.5" customHeight="1" x14ac:dyDescent="0.2">
      <c r="A13" s="3">
        <v>46140.663212407409</v>
      </c>
      <c r="B13" s="4" t="s">
        <v>59</v>
      </c>
      <c r="C13" s="2">
        <v>1</v>
      </c>
      <c r="D13" s="1" t="s">
        <v>34</v>
      </c>
      <c r="E13" s="2">
        <v>4</v>
      </c>
      <c r="F13" s="1" t="s">
        <v>35</v>
      </c>
      <c r="G13" s="2">
        <v>2</v>
      </c>
      <c r="H13" s="1" t="s">
        <v>31</v>
      </c>
    </row>
    <row r="14" spans="1:8" ht="22.5" customHeight="1" x14ac:dyDescent="0.2">
      <c r="A14" s="3">
        <v>46142.029459525467</v>
      </c>
      <c r="B14" s="4" t="s">
        <v>60</v>
      </c>
      <c r="C14" s="2">
        <v>2</v>
      </c>
      <c r="D14" s="1" t="s">
        <v>36</v>
      </c>
      <c r="E14" s="2">
        <v>2</v>
      </c>
      <c r="F14" s="1" t="s">
        <v>37</v>
      </c>
      <c r="G14" s="2">
        <v>2</v>
      </c>
      <c r="H14" s="1" t="s">
        <v>18</v>
      </c>
    </row>
    <row r="15" spans="1:8" ht="22.5" customHeight="1" x14ac:dyDescent="0.2">
      <c r="A15" s="3">
        <v>46142.037168576389</v>
      </c>
      <c r="B15" s="4" t="s">
        <v>61</v>
      </c>
      <c r="C15" s="2">
        <v>2</v>
      </c>
      <c r="D15" s="1" t="s">
        <v>38</v>
      </c>
      <c r="E15" s="2">
        <v>3</v>
      </c>
      <c r="F15" s="1" t="s">
        <v>39</v>
      </c>
      <c r="G15" s="2">
        <v>3</v>
      </c>
      <c r="H15" s="1" t="s">
        <v>18</v>
      </c>
    </row>
    <row r="16" spans="1:8" ht="22.5" customHeight="1" x14ac:dyDescent="0.2">
      <c r="A16" s="3">
        <v>46142.04300888889</v>
      </c>
      <c r="B16" s="4" t="s">
        <v>62</v>
      </c>
      <c r="C16" s="2">
        <v>2</v>
      </c>
      <c r="D16" s="1" t="s">
        <v>40</v>
      </c>
      <c r="E16" s="2">
        <v>2</v>
      </c>
      <c r="F16" s="1" t="s">
        <v>41</v>
      </c>
      <c r="G16" s="2">
        <v>3</v>
      </c>
      <c r="H16" s="1" t="s">
        <v>18</v>
      </c>
    </row>
    <row r="17" spans="1:8" ht="22.5" customHeight="1" x14ac:dyDescent="0.2">
      <c r="A17" s="3">
        <v>46142.529569502316</v>
      </c>
      <c r="B17" s="4" t="s">
        <v>63</v>
      </c>
      <c r="C17" s="2">
        <v>3</v>
      </c>
      <c r="D17" s="1" t="s">
        <v>42</v>
      </c>
      <c r="E17" s="2">
        <v>3</v>
      </c>
      <c r="F17" s="1" t="s">
        <v>43</v>
      </c>
      <c r="G17" s="2">
        <v>3</v>
      </c>
      <c r="H17" s="1" t="s">
        <v>10</v>
      </c>
    </row>
    <row r="18" spans="1:8" ht="22.5" customHeight="1" x14ac:dyDescent="0.2">
      <c r="A18" s="3">
        <v>46142.536163449069</v>
      </c>
      <c r="B18" s="4" t="s">
        <v>64</v>
      </c>
      <c r="C18" s="2">
        <v>4</v>
      </c>
      <c r="D18" s="1" t="s">
        <v>44</v>
      </c>
      <c r="E18" s="2">
        <v>4</v>
      </c>
      <c r="F18" s="1" t="s">
        <v>45</v>
      </c>
      <c r="G18" s="2">
        <v>4</v>
      </c>
      <c r="H18" s="1" t="s">
        <v>13</v>
      </c>
    </row>
    <row r="19" spans="1:8" ht="22.5" customHeight="1" x14ac:dyDescent="0.2">
      <c r="A19" s="3">
        <v>46142.539367372687</v>
      </c>
      <c r="B19" s="4" t="s">
        <v>65</v>
      </c>
      <c r="C19" s="2">
        <v>5</v>
      </c>
      <c r="D19" s="1" t="s">
        <v>46</v>
      </c>
      <c r="E19" s="2">
        <v>5</v>
      </c>
      <c r="F19" s="1" t="s">
        <v>47</v>
      </c>
      <c r="G19" s="2">
        <v>5</v>
      </c>
      <c r="H19" s="1" t="s">
        <v>13</v>
      </c>
    </row>
    <row r="20" spans="1:8" ht="15.75" customHeight="1" thickBot="1" x14ac:dyDescent="0.25"/>
    <row r="21" spans="1:8" ht="15.75" customHeight="1" thickBot="1" x14ac:dyDescent="0.3">
      <c r="A21" s="62" t="s">
        <v>110</v>
      </c>
      <c r="B21" s="63"/>
    </row>
  </sheetData>
  <mergeCells count="1">
    <mergeCell ref="A21:B21"/>
  </mergeCells>
  <pageMargins left="0.7" right="0.7" top="0.75" bottom="0.75" header="0.3" footer="0.3"/>
  <headerFooter>
    <oddFooter>&amp;C_x000D_&amp;1#&amp;"Verdana"&amp;7&amp;K000000 Confidential</oddFooter>
  </headerFooter>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10</vt:i4>
      </vt:variant>
    </vt:vector>
  </HeadingPairs>
  <TitlesOfParts>
    <vt:vector size="10" baseType="lpstr">
      <vt:lpstr>Spørreskjema (2)</vt:lpstr>
      <vt:lpstr>Etterarbeid 2</vt:lpstr>
      <vt:lpstr>Begrunnelser</vt:lpstr>
      <vt:lpstr>Faglig</vt:lpstr>
      <vt:lpstr>Fagli SUM</vt:lpstr>
      <vt:lpstr>Korrekt inndata</vt:lpstr>
      <vt:lpstr>Korrekt inndata SUM</vt:lpstr>
      <vt:lpstr>Ekspert nivå VS. tekst</vt:lpstr>
      <vt:lpstr>Ekspertnivå SUM</vt:lpstr>
      <vt:lpstr>Skjemasvar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Ahmad Rezaie</cp:lastModifiedBy>
  <dcterms:created xsi:type="dcterms:W3CDTF">2026-05-01T15:35:29Z</dcterms:created>
  <dcterms:modified xsi:type="dcterms:W3CDTF">2026-05-11T12:01:51Z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0ea7001-5c24-4702-a3ac-e436ccb02747_Enabled">
    <vt:lpwstr>true</vt:lpwstr>
  </property>
  <property fmtid="{D5CDD505-2E9C-101B-9397-08002B2CF9AE}" pid="3" name="MSIP_Label_20ea7001-5c24-4702-a3ac-e436ccb02747_SetDate">
    <vt:lpwstr>2026-05-01T15:35:17Z</vt:lpwstr>
  </property>
  <property fmtid="{D5CDD505-2E9C-101B-9397-08002B2CF9AE}" pid="4" name="MSIP_Label_20ea7001-5c24-4702-a3ac-e436ccb02747_Method">
    <vt:lpwstr>Standard</vt:lpwstr>
  </property>
  <property fmtid="{D5CDD505-2E9C-101B-9397-08002B2CF9AE}" pid="5" name="MSIP_Label_20ea7001-5c24-4702-a3ac-e436ccb02747_Name">
    <vt:lpwstr>Confidential</vt:lpwstr>
  </property>
  <property fmtid="{D5CDD505-2E9C-101B-9397-08002B2CF9AE}" pid="6" name="MSIP_Label_20ea7001-5c24-4702-a3ac-e436ccb02747_SiteId">
    <vt:lpwstr>c8823c91-be81-4f89-b024-6c3dd789c106</vt:lpwstr>
  </property>
  <property fmtid="{D5CDD505-2E9C-101B-9397-08002B2CF9AE}" pid="7" name="MSIP_Label_20ea7001-5c24-4702-a3ac-e436ccb02747_ActionId">
    <vt:lpwstr>44a3b2ee-6fde-4de8-b4e0-8d4111d8d0d4</vt:lpwstr>
  </property>
  <property fmtid="{D5CDD505-2E9C-101B-9397-08002B2CF9AE}" pid="8" name="MSIP_Label_20ea7001-5c24-4702-a3ac-e436ccb02747_ContentBits">
    <vt:lpwstr>2</vt:lpwstr>
  </property>
  <property fmtid="{D5CDD505-2E9C-101B-9397-08002B2CF9AE}" pid="9" name="MSIP_Label_20ea7001-5c24-4702-a3ac-e436ccb02747_Tag">
    <vt:lpwstr>10, 3, 0, 1</vt:lpwstr>
  </property>
  <property fmtid="{D5CDD505-2E9C-101B-9397-08002B2CF9AE}" pid="10" name="Folder_Number">
    <vt:lpwstr/>
  </property>
  <property fmtid="{D5CDD505-2E9C-101B-9397-08002B2CF9AE}" pid="11" name="Folder_Code">
    <vt:lpwstr/>
  </property>
  <property fmtid="{D5CDD505-2E9C-101B-9397-08002B2CF9AE}" pid="12" name="Folder_Name">
    <vt:lpwstr/>
  </property>
  <property fmtid="{D5CDD505-2E9C-101B-9397-08002B2CF9AE}" pid="13" name="Folder_Description">
    <vt:lpwstr/>
  </property>
  <property fmtid="{D5CDD505-2E9C-101B-9397-08002B2CF9AE}" pid="14" name="/Folder_Name/">
    <vt:lpwstr/>
  </property>
  <property fmtid="{D5CDD505-2E9C-101B-9397-08002B2CF9AE}" pid="15" name="/Folder_Description/">
    <vt:lpwstr/>
  </property>
  <property fmtid="{D5CDD505-2E9C-101B-9397-08002B2CF9AE}" pid="16" name="Folder_Version">
    <vt:lpwstr/>
  </property>
  <property fmtid="{D5CDD505-2E9C-101B-9397-08002B2CF9AE}" pid="17" name="Folder_VersionSeq">
    <vt:lpwstr/>
  </property>
  <property fmtid="{D5CDD505-2E9C-101B-9397-08002B2CF9AE}" pid="18" name="Folder_Manager">
    <vt:lpwstr/>
  </property>
  <property fmtid="{D5CDD505-2E9C-101B-9397-08002B2CF9AE}" pid="19" name="Folder_ManagerDesc">
    <vt:lpwstr/>
  </property>
  <property fmtid="{D5CDD505-2E9C-101B-9397-08002B2CF9AE}" pid="20" name="Folder_Storage">
    <vt:lpwstr/>
  </property>
  <property fmtid="{D5CDD505-2E9C-101B-9397-08002B2CF9AE}" pid="21" name="Folder_StorageDesc">
    <vt:lpwstr/>
  </property>
  <property fmtid="{D5CDD505-2E9C-101B-9397-08002B2CF9AE}" pid="22" name="Folder_Creator">
    <vt:lpwstr/>
  </property>
  <property fmtid="{D5CDD505-2E9C-101B-9397-08002B2CF9AE}" pid="23" name="Folder_CreatorDesc">
    <vt:lpwstr/>
  </property>
  <property fmtid="{D5CDD505-2E9C-101B-9397-08002B2CF9AE}" pid="24" name="Folder_CreateDate">
    <vt:lpwstr/>
  </property>
  <property fmtid="{D5CDD505-2E9C-101B-9397-08002B2CF9AE}" pid="25" name="Folder_Updater">
    <vt:lpwstr/>
  </property>
  <property fmtid="{D5CDD505-2E9C-101B-9397-08002B2CF9AE}" pid="26" name="Folder_UpdaterDesc">
    <vt:lpwstr/>
  </property>
  <property fmtid="{D5CDD505-2E9C-101B-9397-08002B2CF9AE}" pid="27" name="Folder_UpdateDate">
    <vt:lpwstr/>
  </property>
  <property fmtid="{D5CDD505-2E9C-101B-9397-08002B2CF9AE}" pid="28" name="Document_Number">
    <vt:lpwstr/>
  </property>
  <property fmtid="{D5CDD505-2E9C-101B-9397-08002B2CF9AE}" pid="29" name="Document_Name">
    <vt:lpwstr/>
  </property>
  <property fmtid="{D5CDD505-2E9C-101B-9397-08002B2CF9AE}" pid="30" name="Document_FileName">
    <vt:lpwstr/>
  </property>
  <property fmtid="{D5CDD505-2E9C-101B-9397-08002B2CF9AE}" pid="31" name="Document_Version">
    <vt:lpwstr/>
  </property>
  <property fmtid="{D5CDD505-2E9C-101B-9397-08002B2CF9AE}" pid="32" name="Document_VersionSeq">
    <vt:lpwstr/>
  </property>
  <property fmtid="{D5CDD505-2E9C-101B-9397-08002B2CF9AE}" pid="33" name="Document_Creator">
    <vt:lpwstr/>
  </property>
  <property fmtid="{D5CDD505-2E9C-101B-9397-08002B2CF9AE}" pid="34" name="Document_CreatorDesc">
    <vt:lpwstr/>
  </property>
  <property fmtid="{D5CDD505-2E9C-101B-9397-08002B2CF9AE}" pid="35" name="Document_CreateDate">
    <vt:lpwstr/>
  </property>
  <property fmtid="{D5CDD505-2E9C-101B-9397-08002B2CF9AE}" pid="36" name="Document_Updater">
    <vt:lpwstr/>
  </property>
  <property fmtid="{D5CDD505-2E9C-101B-9397-08002B2CF9AE}" pid="37" name="Document_UpdaterDesc">
    <vt:lpwstr/>
  </property>
  <property fmtid="{D5CDD505-2E9C-101B-9397-08002B2CF9AE}" pid="38" name="Document_UpdateDate">
    <vt:lpwstr/>
  </property>
  <property fmtid="{D5CDD505-2E9C-101B-9397-08002B2CF9AE}" pid="39" name="Document_Size">
    <vt:lpwstr/>
  </property>
  <property fmtid="{D5CDD505-2E9C-101B-9397-08002B2CF9AE}" pid="40" name="Document_Storage">
    <vt:lpwstr/>
  </property>
  <property fmtid="{D5CDD505-2E9C-101B-9397-08002B2CF9AE}" pid="41" name="Document_StorageDesc">
    <vt:lpwstr/>
  </property>
  <property fmtid="{D5CDD505-2E9C-101B-9397-08002B2CF9AE}" pid="42" name="Document_Department">
    <vt:lpwstr/>
  </property>
  <property fmtid="{D5CDD505-2E9C-101B-9397-08002B2CF9AE}" pid="43" name="Document_DepartmentDesc">
    <vt:lpwstr/>
  </property>
</Properties>
</file>